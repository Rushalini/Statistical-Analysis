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F9720E89-2B88-47C8-95A7-FA90E3116BC4}" xr6:coauthVersionLast="47" xr6:coauthVersionMax="47" xr10:uidLastSave="{00000000-0000-0000-0000-000000000000}"/>
  <bookViews>
    <workbookView xWindow="-120" yWindow="-120" windowWidth="29040" windowHeight="15720" activeTab="1" xr2:uid="{64572A21-4B93-49C6-BDA2-AB7433A665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B12" i="2"/>
  <c r="S12" i="1" l="1"/>
  <c r="T14" i="1" s="1"/>
  <c r="T12" i="1"/>
  <c r="T11" i="1"/>
  <c r="S11" i="1"/>
  <c r="T7" i="1"/>
  <c r="T8" i="1"/>
  <c r="T9" i="1"/>
  <c r="T10" i="1"/>
  <c r="T6" i="1"/>
  <c r="S7" i="1"/>
  <c r="S8" i="1"/>
  <c r="S9" i="1"/>
  <c r="S10" i="1"/>
  <c r="S6" i="1"/>
  <c r="X11" i="1"/>
  <c r="Q16" i="1"/>
  <c r="P16" i="1"/>
  <c r="P7" i="1" s="1"/>
  <c r="O16" i="1"/>
  <c r="O10" i="1" s="1"/>
  <c r="P19" i="1"/>
  <c r="J13" i="1"/>
  <c r="J12" i="1"/>
  <c r="F12" i="1"/>
  <c r="B12" i="1"/>
  <c r="B11" i="1"/>
  <c r="O7" i="1" l="1"/>
  <c r="Q7" i="1" s="1"/>
  <c r="O8" i="1"/>
  <c r="O9" i="1"/>
  <c r="P8" i="1"/>
  <c r="P9" i="1"/>
  <c r="P10" i="1"/>
  <c r="Q10" i="1" s="1"/>
  <c r="O6" i="1"/>
  <c r="P6" i="1"/>
  <c r="Q9" i="1" l="1"/>
  <c r="Q6" i="1"/>
  <c r="Q8" i="1"/>
  <c r="Q11" i="1" l="1"/>
  <c r="Q13" i="1" s="1"/>
</calcChain>
</file>

<file path=xl/sharedStrings.xml><?xml version="1.0" encoding="utf-8"?>
<sst xmlns="http://schemas.openxmlformats.org/spreadsheetml/2006/main" count="75" uniqueCount="48">
  <si>
    <t>x</t>
  </si>
  <si>
    <t>lambda</t>
  </si>
  <si>
    <t>poisson</t>
  </si>
  <si>
    <t>P(X=3)</t>
  </si>
  <si>
    <t>n</t>
  </si>
  <si>
    <t>p</t>
  </si>
  <si>
    <t>Binomial</t>
  </si>
  <si>
    <t>a</t>
  </si>
  <si>
    <t>b</t>
  </si>
  <si>
    <t>Uniform</t>
  </si>
  <si>
    <t>Uniform(cumulative)</t>
  </si>
  <si>
    <t>Poisson Distribution</t>
  </si>
  <si>
    <t>Binomial Distribution</t>
  </si>
  <si>
    <t>Uniform Distribution</t>
  </si>
  <si>
    <t>y</t>
  </si>
  <si>
    <t>Covarience</t>
  </si>
  <si>
    <t>Mean</t>
  </si>
  <si>
    <t>Mean(X)</t>
  </si>
  <si>
    <t>Mean(Y)</t>
  </si>
  <si>
    <t>x-X</t>
  </si>
  <si>
    <t>y-Y</t>
  </si>
  <si>
    <t>prouduct(x-X)(Y-y)</t>
  </si>
  <si>
    <t>Sum</t>
  </si>
  <si>
    <t>Covarience(Inbuilt)</t>
  </si>
  <si>
    <t>Correlation</t>
  </si>
  <si>
    <t>Age(M)</t>
  </si>
  <si>
    <t>Age(F)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</si>
  <si>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</si>
  <si>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</si>
  <si>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</si>
  <si>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</si>
  <si>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</si>
  <si>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</si>
  <si>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</si>
  <si>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</si>
  <si>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</si>
  <si>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</si>
  <si>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</si>
  <si>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</si>
  <si>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</si>
  <si>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t-Test: Two-Sample Assuming Unequal Variances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</si>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</sst>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69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B25F-1BCD-4600-A61E-E84026C7F31D}">
  <dimension ref="A5:X19"/>
  <sheetViews>
    <sheetView zoomScale="106" zoomScaleNormal="106" workbookViewId="0">
      <selection activeCell="O4" sqref="O4"/>
    </sheetView>
  </sheetViews>
  <sheetFormatPr defaultRowHeight="15" x14ac:dyDescent="0.25"/>
  <cols>
    <col min="2" max="2" width="12" bestFit="1" customWidth="1"/>
    <col min="9" max="9" width="19.85546875" bestFit="1" customWidth="1"/>
    <col min="17" max="17" width="17.7109375" bestFit="1" customWidth="1"/>
  </cols>
  <sheetData>
    <row r="5" spans="1:24" x14ac:dyDescent="0.25">
      <c r="M5" s="1" t="s">
        <v>0</v>
      </c>
      <c r="N5" s="1" t="s">
        <v>14</v>
      </c>
      <c r="O5" s="1" t="s">
        <v>19</v>
      </c>
      <c r="P5" s="1" t="s">
        <v>20</v>
      </c>
      <c r="Q5" s="1" t="s">
        <v>21</v>
      </c>
      <c r="W5" s="3">
        <v>0.03</v>
      </c>
      <c r="X5" s="3">
        <v>0.05</v>
      </c>
    </row>
    <row r="6" spans="1:24" x14ac:dyDescent="0.25">
      <c r="M6" s="1">
        <v>2</v>
      </c>
      <c r="N6" s="1">
        <v>4</v>
      </c>
      <c r="O6" s="1">
        <f>M6-O16</f>
        <v>-0.39999999999999991</v>
      </c>
      <c r="P6" s="1">
        <f>N6-P16</f>
        <v>0.10000000000000009</v>
      </c>
      <c r="Q6" s="1">
        <f>O6*P6</f>
        <v>-4.0000000000000029E-2</v>
      </c>
      <c r="S6">
        <f>O6*O6</f>
        <v>0.15999999999999992</v>
      </c>
      <c r="T6">
        <f>P6*P6</f>
        <v>1.0000000000000018E-2</v>
      </c>
      <c r="W6" s="3">
        <v>0.02</v>
      </c>
      <c r="X6" s="4">
        <v>4.4999999999999998E-2</v>
      </c>
    </row>
    <row r="7" spans="1:24" x14ac:dyDescent="0.25">
      <c r="M7" s="1">
        <v>3</v>
      </c>
      <c r="N7" s="1">
        <v>4.5</v>
      </c>
      <c r="O7" s="1">
        <f>M7-O16</f>
        <v>0.60000000000000009</v>
      </c>
      <c r="P7" s="1">
        <f>N7-P16</f>
        <v>0.60000000000000009</v>
      </c>
      <c r="Q7" s="1">
        <f t="shared" ref="Q7:Q10" si="0">O7*P7</f>
        <v>0.3600000000000001</v>
      </c>
      <c r="S7">
        <f t="shared" ref="S7:S10" si="1">O7*O7</f>
        <v>0.3600000000000001</v>
      </c>
      <c r="T7">
        <f t="shared" ref="T7:T10" si="2">P7*P7</f>
        <v>0.3600000000000001</v>
      </c>
      <c r="W7" s="3">
        <v>0.06</v>
      </c>
      <c r="X7" s="3">
        <v>0.09</v>
      </c>
    </row>
    <row r="8" spans="1:24" ht="15.75" x14ac:dyDescent="0.25">
      <c r="A8" s="2" t="s">
        <v>11</v>
      </c>
      <c r="B8" s="2"/>
      <c r="E8" s="2" t="s">
        <v>12</v>
      </c>
      <c r="F8" s="2"/>
      <c r="I8" s="2" t="s">
        <v>13</v>
      </c>
      <c r="M8" s="1">
        <v>6</v>
      </c>
      <c r="N8" s="1">
        <v>6</v>
      </c>
      <c r="O8" s="1">
        <f>M8-O16</f>
        <v>3.6</v>
      </c>
      <c r="P8" s="1">
        <f xml:space="preserve"> N8-P16</f>
        <v>2.1</v>
      </c>
      <c r="Q8" s="1">
        <f t="shared" si="0"/>
        <v>7.5600000000000005</v>
      </c>
      <c r="S8">
        <f t="shared" si="1"/>
        <v>12.96</v>
      </c>
      <c r="T8">
        <f t="shared" si="2"/>
        <v>4.41</v>
      </c>
      <c r="W8" s="3">
        <v>0.01</v>
      </c>
      <c r="X8" s="3">
        <v>0.01</v>
      </c>
    </row>
    <row r="9" spans="1:24" x14ac:dyDescent="0.25">
      <c r="A9" s="1" t="s">
        <v>0</v>
      </c>
      <c r="B9" s="1">
        <v>0</v>
      </c>
      <c r="E9" s="1" t="s">
        <v>4</v>
      </c>
      <c r="F9" s="1">
        <v>5</v>
      </c>
      <c r="I9" s="1" t="s">
        <v>7</v>
      </c>
      <c r="J9" s="1">
        <v>10</v>
      </c>
      <c r="M9" s="1">
        <v>0</v>
      </c>
      <c r="N9" s="1">
        <v>3</v>
      </c>
      <c r="O9" s="1">
        <f>M9-O16</f>
        <v>-2.4</v>
      </c>
      <c r="P9" s="1">
        <f>N9-P16</f>
        <v>-0.89999999999999991</v>
      </c>
      <c r="Q9" s="1">
        <f t="shared" si="0"/>
        <v>2.1599999999999997</v>
      </c>
      <c r="S9">
        <f t="shared" si="1"/>
        <v>5.76</v>
      </c>
      <c r="T9">
        <f t="shared" si="2"/>
        <v>0.80999999999999983</v>
      </c>
      <c r="W9" s="3">
        <v>0</v>
      </c>
      <c r="X9" s="3">
        <v>0.01</v>
      </c>
    </row>
    <row r="10" spans="1:24" x14ac:dyDescent="0.25">
      <c r="A10" s="1" t="s">
        <v>1</v>
      </c>
      <c r="B10" s="1">
        <v>10</v>
      </c>
      <c r="E10" s="1" t="s">
        <v>5</v>
      </c>
      <c r="F10" s="1">
        <v>0.5</v>
      </c>
      <c r="I10" s="1" t="s">
        <v>8</v>
      </c>
      <c r="J10" s="1">
        <v>20</v>
      </c>
      <c r="M10" s="1">
        <v>1</v>
      </c>
      <c r="N10" s="1">
        <v>2</v>
      </c>
      <c r="O10" s="1">
        <f>M10-O16</f>
        <v>-1.4</v>
      </c>
      <c r="P10" s="1">
        <f>N10-P16</f>
        <v>-1.9</v>
      </c>
      <c r="Q10" s="1">
        <f t="shared" si="0"/>
        <v>2.6599999999999997</v>
      </c>
      <c r="S10">
        <f t="shared" si="1"/>
        <v>1.9599999999999997</v>
      </c>
      <c r="T10">
        <f t="shared" si="2"/>
        <v>3.61</v>
      </c>
    </row>
    <row r="11" spans="1:24" x14ac:dyDescent="0.25">
      <c r="A11" s="1" t="s">
        <v>2</v>
      </c>
      <c r="B11" s="1">
        <f>_xlfn.POISSON.DIST(B9,B10,FALSE)</f>
        <v>4.5399929762484854E-5</v>
      </c>
      <c r="E11" s="1" t="s">
        <v>0</v>
      </c>
      <c r="F11" s="1">
        <v>0</v>
      </c>
      <c r="I11" s="1" t="s">
        <v>0</v>
      </c>
      <c r="J11" s="1">
        <v>15</v>
      </c>
      <c r="M11" s="1"/>
      <c r="N11" s="1"/>
      <c r="O11" s="1"/>
      <c r="P11" s="1" t="s">
        <v>22</v>
      </c>
      <c r="Q11" s="1">
        <f>SUM(Q6:Q10)</f>
        <v>12.700000000000001</v>
      </c>
      <c r="S11">
        <f>SUM(S6:S10)</f>
        <v>21.200000000000003</v>
      </c>
      <c r="T11">
        <f>SUM(T6:T10)</f>
        <v>9.1999999999999993</v>
      </c>
      <c r="X11" s="5">
        <f>_xlfn.COVARIANCE.S(W5:W9,X5:X9)</f>
        <v>7.4499999999999989E-4</v>
      </c>
    </row>
    <row r="12" spans="1:24" x14ac:dyDescent="0.25">
      <c r="A12" s="1" t="s">
        <v>3</v>
      </c>
      <c r="B12" s="1">
        <f>_xlfn.POISSON.DIST(3,B10,FALSE)</f>
        <v>7.5666549604141483E-3</v>
      </c>
      <c r="E12" s="1" t="s">
        <v>6</v>
      </c>
      <c r="F12" s="1">
        <f>_xlfn.BINOM.DIST(F11,F9,0.5,FALSE)</f>
        <v>3.125E-2</v>
      </c>
      <c r="I12" s="1" t="s">
        <v>10</v>
      </c>
      <c r="J12" s="1">
        <f>(J11-J9)/(J10-J9)</f>
        <v>0.5</v>
      </c>
      <c r="M12" s="1"/>
      <c r="N12" s="1"/>
      <c r="O12" s="1"/>
      <c r="P12" s="1"/>
      <c r="Q12" s="1"/>
      <c r="S12">
        <f>SQRT(S11/4)</f>
        <v>2.3021728866442679</v>
      </c>
      <c r="T12">
        <f>SQRT(T11/4)</f>
        <v>1.51657508881031</v>
      </c>
    </row>
    <row r="13" spans="1:24" x14ac:dyDescent="0.25">
      <c r="I13" s="1" t="s">
        <v>9</v>
      </c>
      <c r="J13" s="1">
        <f>1/(J10-J9)</f>
        <v>0.1</v>
      </c>
      <c r="M13" s="1"/>
      <c r="N13" s="1"/>
      <c r="O13" s="1"/>
      <c r="P13" s="1" t="s">
        <v>15</v>
      </c>
      <c r="Q13" s="1">
        <f>Q11/4</f>
        <v>3.1750000000000003</v>
      </c>
    </row>
    <row r="14" spans="1:24" x14ac:dyDescent="0.25">
      <c r="S14" t="s">
        <v>24</v>
      </c>
      <c r="T14">
        <f>Q13/(S12*T12)</f>
        <v>0.90937262582535017</v>
      </c>
    </row>
    <row r="15" spans="1:24" x14ac:dyDescent="0.25">
      <c r="O15" t="s">
        <v>17</v>
      </c>
      <c r="P15" t="s">
        <v>18</v>
      </c>
      <c r="Q15" t="s">
        <v>4</v>
      </c>
    </row>
    <row r="16" spans="1:24" x14ac:dyDescent="0.25">
      <c r="O16">
        <f>AVERAGE(M6:M10)</f>
        <v>2.4</v>
      </c>
      <c r="P16">
        <f>AVERAGE(N6:N10)</f>
        <v>3.9</v>
      </c>
      <c r="Q16">
        <f>COUNT(M6:M10)</f>
        <v>5</v>
      </c>
    </row>
    <row r="18" spans="15:16" x14ac:dyDescent="0.25">
      <c r="O18" t="s">
        <v>23</v>
      </c>
    </row>
    <row r="19" spans="15:16" x14ac:dyDescent="0.25">
      <c r="P19">
        <f>_xlfn.COVARIANCE.S(M6:M10,N6:N10)</f>
        <v>3.1750000000000003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FD4D-DB7D-44E4-95AB-EB1585A32300}">
  <dimension ref="B3:M31"/>
  <sheetViews>
    <sheetView tabSelected="1" workbookViewId="0">
      <selection activeCell="D11" sqref="D10:D11"/>
    </sheetView>
  </sheetViews>
  <sheetFormatPr defaultRowHeight="15" x14ac:dyDescent="0.25"/>
  <cols>
    <col min="2" max="2" width="11.140625" customWidth="1"/>
    <col min="7" max="7" width="42.5703125" bestFit="1" customWidth="1"/>
    <col min="11" max="11" width="29" bestFit="1" customWidth="1"/>
  </cols>
  <sheetData>
    <row r="3" spans="2:13" x14ac:dyDescent="0.25">
      <c r="B3" s="1" t="s">
        <v>25</v>
      </c>
      <c r="C3" s="1" t="s">
        <v>26</v>
      </c>
      <c r="G3" t="s">
        <v>38</v>
      </c>
    </row>
    <row r="4" spans="2:13" ht="15.75" thickBot="1" x14ac:dyDescent="0.3">
      <c r="B4" s="1">
        <v>25</v>
      </c>
      <c r="C4" s="1">
        <v>45</v>
      </c>
      <c r="K4" t="s">
        <v>41</v>
      </c>
    </row>
    <row r="5" spans="2:13" ht="15.75" thickBot="1" x14ac:dyDescent="0.3">
      <c r="B5" s="1">
        <v>30</v>
      </c>
      <c r="C5" s="1">
        <v>21</v>
      </c>
      <c r="G5" s="8"/>
      <c r="H5" s="8">
        <v>25</v>
      </c>
      <c r="I5" s="8">
        <v>45</v>
      </c>
    </row>
    <row r="6" spans="2:13" x14ac:dyDescent="0.25">
      <c r="B6" s="1">
        <v>45</v>
      </c>
      <c r="C6" s="1">
        <v>34</v>
      </c>
      <c r="G6" s="6" t="s">
        <v>16</v>
      </c>
      <c r="H6" s="6">
        <v>40</v>
      </c>
      <c r="I6" s="6">
        <v>45.333333333333336</v>
      </c>
      <c r="K6" s="8"/>
      <c r="L6" s="8">
        <v>25</v>
      </c>
      <c r="M6" s="8">
        <v>45</v>
      </c>
    </row>
    <row r="7" spans="2:13" x14ac:dyDescent="0.25">
      <c r="B7" s="1">
        <v>67</v>
      </c>
      <c r="C7" s="1">
        <v>65</v>
      </c>
      <c r="G7" s="6" t="s">
        <v>28</v>
      </c>
      <c r="H7" s="6">
        <v>218</v>
      </c>
      <c r="I7" s="6">
        <v>653.06666666666683</v>
      </c>
      <c r="K7" s="6" t="s">
        <v>16</v>
      </c>
      <c r="L7" s="6">
        <v>40</v>
      </c>
      <c r="M7" s="6">
        <v>45.333333333333336</v>
      </c>
    </row>
    <row r="8" spans="2:13" x14ac:dyDescent="0.25">
      <c r="B8" s="1">
        <v>38</v>
      </c>
      <c r="C8" s="1">
        <v>43</v>
      </c>
      <c r="G8" s="6" t="s">
        <v>29</v>
      </c>
      <c r="H8" s="6">
        <v>6</v>
      </c>
      <c r="I8" s="6">
        <v>6</v>
      </c>
      <c r="K8" s="6" t="s">
        <v>42</v>
      </c>
      <c r="L8" s="6">
        <v>213.8</v>
      </c>
      <c r="M8" s="6">
        <v>544.23</v>
      </c>
    </row>
    <row r="9" spans="2:13" x14ac:dyDescent="0.25">
      <c r="B9" s="1">
        <v>26</v>
      </c>
      <c r="C9" s="1">
        <v>23</v>
      </c>
      <c r="G9" s="6" t="s">
        <v>39</v>
      </c>
      <c r="H9" s="6">
        <v>435.53333333333342</v>
      </c>
      <c r="I9" s="6"/>
      <c r="K9" s="6" t="s">
        <v>29</v>
      </c>
      <c r="L9" s="6">
        <v>6</v>
      </c>
      <c r="M9" s="6">
        <v>6</v>
      </c>
    </row>
    <row r="10" spans="2:13" x14ac:dyDescent="0.25">
      <c r="B10" s="1">
        <v>34</v>
      </c>
      <c r="C10" s="1">
        <v>86</v>
      </c>
      <c r="G10" s="6" t="s">
        <v>31</v>
      </c>
      <c r="H10" s="6">
        <v>0</v>
      </c>
      <c r="I10" s="6"/>
      <c r="K10" s="6" t="s">
        <v>31</v>
      </c>
      <c r="L10" s="6">
        <v>0</v>
      </c>
      <c r="M10" s="6"/>
    </row>
    <row r="11" spans="2:13" x14ac:dyDescent="0.25">
      <c r="G11" s="6" t="s">
        <v>32</v>
      </c>
      <c r="H11" s="6">
        <v>10</v>
      </c>
      <c r="I11" s="6"/>
      <c r="K11" s="6" t="s">
        <v>43</v>
      </c>
      <c r="L11" s="6">
        <v>-0.47449447104910264</v>
      </c>
      <c r="M11" s="6"/>
    </row>
    <row r="12" spans="2:13" x14ac:dyDescent="0.25">
      <c r="B12">
        <f>_xlfn.VAR.S(B4:B10)</f>
        <v>213.80952380952385</v>
      </c>
      <c r="C12">
        <f>_xlfn.VAR.S(C4:C10)</f>
        <v>544.23809523809507</v>
      </c>
      <c r="G12" s="6" t="s">
        <v>33</v>
      </c>
      <c r="H12" s="6">
        <v>-0.44263796006671779</v>
      </c>
      <c r="I12" s="6"/>
      <c r="K12" s="6" t="s">
        <v>44</v>
      </c>
      <c r="L12" s="6">
        <v>0.31757366987500202</v>
      </c>
      <c r="M12" s="6"/>
    </row>
    <row r="13" spans="2:13" x14ac:dyDescent="0.25">
      <c r="G13" s="6" t="s">
        <v>34</v>
      </c>
      <c r="H13" s="6">
        <v>0.33372418481639066</v>
      </c>
      <c r="I13" s="6"/>
      <c r="K13" s="6" t="s">
        <v>45</v>
      </c>
      <c r="L13" s="6">
        <v>1.6448536269514715</v>
      </c>
      <c r="M13" s="6"/>
    </row>
    <row r="14" spans="2:13" x14ac:dyDescent="0.25">
      <c r="G14" s="6" t="s">
        <v>35</v>
      </c>
      <c r="H14" s="6">
        <v>1.812461122811676</v>
      </c>
      <c r="I14" s="6"/>
      <c r="K14" s="6" t="s">
        <v>46</v>
      </c>
      <c r="L14" s="6">
        <v>0.63514733975000404</v>
      </c>
      <c r="M14" s="6"/>
    </row>
    <row r="15" spans="2:13" ht="15.75" thickBot="1" x14ac:dyDescent="0.3">
      <c r="G15" s="6" t="s">
        <v>36</v>
      </c>
      <c r="H15" s="6">
        <v>0.66744836963278131</v>
      </c>
      <c r="I15" s="6"/>
      <c r="K15" s="7" t="s">
        <v>47</v>
      </c>
      <c r="L15" s="7">
        <v>1.9599639845400536</v>
      </c>
      <c r="M15" s="7"/>
    </row>
    <row r="16" spans="2:13" ht="15.75" thickBot="1" x14ac:dyDescent="0.3">
      <c r="G16" s="7" t="s">
        <v>37</v>
      </c>
      <c r="H16" s="7">
        <v>2.2281388519862744</v>
      </c>
      <c r="I16" s="7"/>
    </row>
    <row r="17" spans="2:9" x14ac:dyDescent="0.25">
      <c r="B17" t="s">
        <v>27</v>
      </c>
    </row>
    <row r="18" spans="2:9" ht="15.75" thickBot="1" x14ac:dyDescent="0.3"/>
    <row r="19" spans="2:9" x14ac:dyDescent="0.25">
      <c r="B19" s="8"/>
      <c r="C19" s="8">
        <v>25</v>
      </c>
      <c r="D19" s="8">
        <v>45</v>
      </c>
      <c r="G19" t="s">
        <v>40</v>
      </c>
    </row>
    <row r="20" spans="2:9" ht="15.75" thickBot="1" x14ac:dyDescent="0.3">
      <c r="B20" s="6" t="s">
        <v>16</v>
      </c>
      <c r="C20" s="6">
        <v>40</v>
      </c>
      <c r="D20" s="6">
        <v>45.333333333333336</v>
      </c>
    </row>
    <row r="21" spans="2:9" x14ac:dyDescent="0.25">
      <c r="B21" s="6" t="s">
        <v>28</v>
      </c>
      <c r="C21" s="6">
        <v>218</v>
      </c>
      <c r="D21" s="6">
        <v>653.06666666666683</v>
      </c>
      <c r="G21" s="8"/>
      <c r="H21" s="8">
        <v>25</v>
      </c>
      <c r="I21" s="8">
        <v>45</v>
      </c>
    </row>
    <row r="22" spans="2:9" x14ac:dyDescent="0.25">
      <c r="B22" s="6" t="s">
        <v>29</v>
      </c>
      <c r="C22" s="6">
        <v>6</v>
      </c>
      <c r="D22" s="6">
        <v>6</v>
      </c>
      <c r="G22" s="6" t="s">
        <v>16</v>
      </c>
      <c r="H22" s="6">
        <v>40</v>
      </c>
      <c r="I22" s="6">
        <v>45.333333333333336</v>
      </c>
    </row>
    <row r="23" spans="2:9" x14ac:dyDescent="0.25">
      <c r="B23" s="6" t="s">
        <v>30</v>
      </c>
      <c r="C23" s="6">
        <v>0.41927548854728386</v>
      </c>
      <c r="D23" s="6"/>
      <c r="G23" s="6" t="s">
        <v>28</v>
      </c>
      <c r="H23" s="6">
        <v>218</v>
      </c>
      <c r="I23" s="6">
        <v>653.06666666666683</v>
      </c>
    </row>
    <row r="24" spans="2:9" x14ac:dyDescent="0.25">
      <c r="B24" s="6" t="s">
        <v>31</v>
      </c>
      <c r="C24" s="6">
        <v>0</v>
      </c>
      <c r="D24" s="6"/>
      <c r="G24" s="6" t="s">
        <v>29</v>
      </c>
      <c r="H24" s="6">
        <v>6</v>
      </c>
      <c r="I24" s="6">
        <v>6</v>
      </c>
    </row>
    <row r="25" spans="2:9" x14ac:dyDescent="0.25">
      <c r="B25" s="6" t="s">
        <v>32</v>
      </c>
      <c r="C25" s="6">
        <v>5</v>
      </c>
      <c r="D25" s="6"/>
      <c r="G25" s="6" t="s">
        <v>31</v>
      </c>
      <c r="H25" s="6">
        <v>0</v>
      </c>
      <c r="I25" s="6"/>
    </row>
    <row r="26" spans="2:9" x14ac:dyDescent="0.25">
      <c r="B26" s="6" t="s">
        <v>33</v>
      </c>
      <c r="C26" s="6">
        <v>-0.55470019622522893</v>
      </c>
      <c r="D26" s="6"/>
      <c r="G26" s="6" t="s">
        <v>32</v>
      </c>
      <c r="H26" s="6">
        <v>8</v>
      </c>
      <c r="I26" s="6"/>
    </row>
    <row r="27" spans="2:9" x14ac:dyDescent="0.25">
      <c r="B27" s="6" t="s">
        <v>34</v>
      </c>
      <c r="C27" s="6">
        <v>0.30149862061170934</v>
      </c>
      <c r="D27" s="6"/>
      <c r="G27" s="6" t="s">
        <v>33</v>
      </c>
      <c r="H27" s="6">
        <v>-0.44263796006671779</v>
      </c>
      <c r="I27" s="6"/>
    </row>
    <row r="28" spans="2:9" x14ac:dyDescent="0.25">
      <c r="B28" s="6" t="s">
        <v>35</v>
      </c>
      <c r="C28" s="6">
        <v>2.0150483733330233</v>
      </c>
      <c r="D28" s="6"/>
      <c r="G28" s="6" t="s">
        <v>34</v>
      </c>
      <c r="H28" s="6">
        <v>0.33487564139395398</v>
      </c>
      <c r="I28" s="6"/>
    </row>
    <row r="29" spans="2:9" x14ac:dyDescent="0.25">
      <c r="B29" s="6" t="s">
        <v>36</v>
      </c>
      <c r="C29" s="6">
        <v>0.60299724122341869</v>
      </c>
      <c r="D29" s="6"/>
      <c r="G29" s="6" t="s">
        <v>35</v>
      </c>
      <c r="H29" s="6">
        <v>1.8595480375308981</v>
      </c>
      <c r="I29" s="6"/>
    </row>
    <row r="30" spans="2:9" ht="15.75" thickBot="1" x14ac:dyDescent="0.3">
      <c r="B30" s="7" t="s">
        <v>37</v>
      </c>
      <c r="C30" s="7">
        <v>2.570581835636315</v>
      </c>
      <c r="D30" s="7"/>
      <c r="G30" s="6" t="s">
        <v>36</v>
      </c>
      <c r="H30" s="6">
        <v>0.66975128278790796</v>
      </c>
      <c r="I30" s="6"/>
    </row>
    <row r="31" spans="2:9" ht="15.75" thickBot="1" x14ac:dyDescent="0.3">
      <c r="G31" s="7" t="s">
        <v>37</v>
      </c>
      <c r="H31" s="7">
        <v>2.3060041352041671</v>
      </c>
      <c r="I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2026-06-30T05:11:32Z</dcterms:created>
  <dcterms:modified xsi:type="dcterms:W3CDTF">2026-06-30T11:26:37Z</dcterms:modified>
</cp:coreProperties>
</file>