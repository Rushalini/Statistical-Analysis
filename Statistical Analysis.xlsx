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13_ncr:1_{3700DACD-8891-4314-BDCC-AEB033A76698}" xr6:coauthVersionLast="47" xr6:coauthVersionMax="47" xr10:uidLastSave="{00000000-0000-0000-0000-000000000000}"/>
  <bookViews>
    <workbookView minimized="1" xWindow="2850" yWindow="2850" windowWidth="21600" windowHeight="11295" firstSheet="6" activeTab="8" xr2:uid="{3D9F4769-685C-460A-AAF4-D607A7024432}"/>
  </bookViews>
  <sheets>
    <sheet name="Sheet3" sheetId="3" r:id="rId1"/>
    <sheet name="Sheet2" sheetId="2" r:id="rId2"/>
    <sheet name="Sheet5" sheetId="5" r:id="rId3"/>
    <sheet name="Sheet6" sheetId="6" r:id="rId4"/>
    <sheet name="Sheet7" sheetId="7" r:id="rId5"/>
    <sheet name="Sheet8" sheetId="8" r:id="rId6"/>
    <sheet name="Sheet10" sheetId="11" r:id="rId7"/>
    <sheet name="Sheet9" sheetId="10" r:id="rId8"/>
    <sheet name="Sheet1" sheetId="1" r:id="rId9"/>
  </sheet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<sst xmlns="http://schemas.openxmlformats.org/spreadsheetml/2006/main" count="702" uniqueCount="76">
  <si>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</si>
  <si>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</si>
  <si>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</si>
  <si>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</si>
  <si>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</si>
  <si>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</si>
  <si>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</si>
  <si>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</si>
  <si>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</si>
  <si>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</si>
  <si>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France</t>
  </si>
  <si>
    <t>Female</t>
  </si>
  <si>
    <t>Spain</t>
  </si>
  <si>
    <t>Male</t>
  </si>
  <si>
    <t>Germany</t>
  </si>
  <si>
    <t>Column1</t>
  </si>
  <si>
    <t>Column2</t>
  </si>
  <si>
    <t>Column3</t>
  </si>
  <si>
    <t>Column4</t>
  </si>
  <si>
    <t>Column5</t>
  </si>
  <si>
    <t>Column6</t>
  </si>
  <si>
    <t>Column7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</si>
  <si>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</si>
  <si>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</si>
  <si>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</si>
  <si>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</si>
  <si>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</si>
  <si>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</si>
  <si>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</si>
  <si>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</si>
  <si>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</si>
  <si>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</si>
  <si>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</si>
  <si>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</si>
  <si>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</si>
  <si>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Column 1</t>
  </si>
  <si>
    <t>Column 2</t>
  </si>
  <si>
    <t>Column 3</t>
  </si>
  <si>
    <t>Column 4</t>
  </si>
  <si>
    <t>Column 5</t>
  </si>
  <si>
    <t>Column 6</t>
  </si>
  <si>
    <t>Column 7</t>
  </si>
  <si>
    <t>Anova: Single Factor</t>
  </si>
  <si>
    <t>SUMMARY</t>
  </si>
  <si>
    <t>Groups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</si>
  <si>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</si>
  <si>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</si>
  <si>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</si>
  <si>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</si>
  <si>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</si>
  <si>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</si>
  <si>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</si>
  <si>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</si>
  <si>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</si>
  <si>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</si>
  <si>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</si>
  <si>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</si>
  <si>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</si>
  <si>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Anova: Two-Factor With Replication</t>
  </si>
  <si>
    <t>Sample</t>
  </si>
  <si>
    <t>Columns</t>
  </si>
  <si>
    <t>Interaction</t>
  </si>
  <si>
    <t>Within</t>
  </si>
  <si>
    <t>Anova: Two-Factor Without Replication</t>
  </si>
  <si>
    <t>Rows</t>
  </si>
  <si>
    <t>Error</t>
  </si>
  <si>
    <t>Descriptive Statistics</t>
  </si>
  <si>
    <t>Correlation</t>
  </si>
  <si>
    <t>male</t>
  </si>
  <si>
    <t>no.of votes</t>
  </si>
  <si>
    <t>female</t>
  </si>
  <si>
    <t>Row Labels</t>
  </si>
  <si>
    <t>Sum of IsActiveMember</t>
  </si>
  <si>
    <t>(blank)</t>
  </si>
  <si>
    <t>Grand Total</t>
  </si>
  <si>
    <t>Sum of Field12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</si>
</sst>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3" fillId="2" borderId="0" xfId="0" applyFont="1" applyFill="1"/>
    <xf numFmtId="0" fontId="0" fillId="2" borderId="0" xfId="0" applyFill="1"/>
    <xf numFmtId="0" fontId="0" fillId="0" borderId="4" xfId="0" applyBorder="1"/>
    <xf numFmtId="0" fontId="3" fillId="3" borderId="0" xfId="0" applyFont="1" applyFill="1"/>
    <xf numFmtId="0" fontId="0" fillId="3" borderId="0" xfId="0" applyFill="1"/>
    <xf numFmtId="0" fontId="4" fillId="4" borderId="0" xfId="0" applyFont="1" applyFill="1"/>
    <xf numFmtId="0" fontId="0" fillId="4" borderId="0" xfId="0" applyFill="1"/>
    <xf numFmtId="0" fontId="4" fillId="5" borderId="0" xfId="0" applyFont="1" applyFill="1"/>
    <xf numFmtId="0" fontId="0" fillId="5" borderId="0" xfId="0" applyFill="1"/>
    <xf numFmtId="0" fontId="4" fillId="6" borderId="0" xfId="0" applyFont="1" applyFill="1"/>
    <xf numFmtId="0" fontId="0" fillId="6" borderId="0" xfId="0" applyFill="1"/>
    <xf numFmtId="0" fontId="2" fillId="0" borderId="4" xfId="0" applyFont="1" applyBorder="1" applyAlignment="1">
      <alignment horizontal="right"/>
    </xf>
    <xf numFmtId="0" fontId="1" fillId="7" borderId="4" xfId="0" applyFont="1" applyFill="1" applyBorder="1" applyAlignment="1">
      <alignment horizontal="center"/>
    </xf>
    <xf numFmtId="0" fontId="0" fillId="7" borderId="4" xfId="0" applyFill="1" applyBorder="1"/>
    <xf numFmtId="0" fontId="2" fillId="7" borderId="4" xfId="0" applyFont="1" applyFill="1" applyBorder="1" applyAlignment="1">
      <alignment horizontal="right"/>
    </xf>
    <xf numFmtId="0" fontId="0" fillId="7" borderId="0" xfId="0" applyFill="1"/>
    <xf numFmtId="0" fontId="1" fillId="7" borderId="2" xfId="0" applyFont="1" applyFill="1" applyBorder="1" applyAlignment="1">
      <alignment horizontal="center"/>
    </xf>
    <xf numFmtId="0" fontId="0" fillId="7" borderId="1" xfId="0" applyFill="1" applyBorder="1"/>
    <xf numFmtId="0" fontId="6" fillId="0" borderId="0" xfId="0" applyFont="1"/>
    <xf numFmtId="0" fontId="6" fillId="8" borderId="0" xfId="0" applyFont="1" applyFill="1"/>
    <xf numFmtId="0" fontId="6" fillId="9" borderId="0" xfId="0" applyFont="1" applyFill="1"/>
    <xf numFmtId="0" fontId="0" fillId="9" borderId="0" xfId="0" applyFill="1"/>
    <xf numFmtId="0" fontId="0" fillId="0" borderId="5" xfId="0" applyBorder="1"/>
    <xf numFmtId="0" fontId="1" fillId="0" borderId="5" xfId="0" applyFont="1" applyBorder="1" applyAlignment="1">
      <alignment horizontal="center"/>
    </xf>
    <xf numFmtId="0" fontId="0" fillId="11" borderId="4" xfId="0" applyFill="1" applyBorder="1"/>
    <xf numFmtId="0" fontId="5" fillId="6" borderId="4" xfId="0" applyFont="1" applyFill="1" applyBorder="1"/>
    <xf numFmtId="0" fontId="0" fillId="9" borderId="4" xfId="0" applyFill="1" applyBorder="1"/>
    <xf numFmtId="0" fontId="1" fillId="13" borderId="4" xfId="0" applyFont="1" applyFill="1" applyBorder="1" applyAlignment="1">
      <alignment horizontal="center"/>
    </xf>
    <xf numFmtId="0" fontId="0" fillId="13" borderId="4" xfId="0" applyFill="1" applyBorder="1"/>
    <xf numFmtId="0" fontId="5" fillId="10" borderId="4" xfId="0" applyFont="1" applyFill="1" applyBorder="1"/>
    <xf numFmtId="0" fontId="7" fillId="10" borderId="4" xfId="0" applyFont="1" applyFill="1" applyBorder="1" applyAlignment="1">
      <alignment horizontal="center"/>
    </xf>
    <xf numFmtId="0" fontId="0" fillId="15" borderId="4" xfId="0" applyFill="1" applyBorder="1"/>
    <xf numFmtId="0" fontId="7" fillId="16" borderId="4" xfId="0" applyFont="1" applyFill="1" applyBorder="1" applyAlignment="1">
      <alignment horizontal="center"/>
    </xf>
    <xf numFmtId="0" fontId="5" fillId="12" borderId="4" xfId="0" applyFont="1" applyFill="1" applyBorder="1"/>
    <xf numFmtId="0" fontId="5" fillId="14" borderId="4" xfId="0" applyFont="1" applyFill="1" applyBorder="1"/>
    <xf numFmtId="0" fontId="5" fillId="7" borderId="4" xfId="0" applyFont="1" applyFill="1" applyBorder="1"/>
    <xf numFmtId="0" fontId="7" fillId="7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9.613586805557" createdVersion="8" refreshedVersion="8" minRefreshableVersion="3" recordCount="29" xr:uid="{D258384F-C618-4038-AE39-8B279DD3050C}">
  <cacheSource type="worksheet">
    <worksheetSource ref="A1:S30" sheet="Sheet1"/>
  </cacheSource>
  <cacheFields count="19">
    <cacheField name="CreditScore" numFmtId="0">
      <sharedItems containsString="0" containsBlank="1" containsNumber="1" containsInteger="1" minValue="376" maxValue="850"/>
    </cacheField>
    <cacheField name="Geography" numFmtId="0">
      <sharedItems containsBlank="1"/>
    </cacheField>
    <cacheField name="Gender" numFmtId="0">
      <sharedItems containsBlank="1"/>
    </cacheField>
    <cacheField name="Age" numFmtId="0">
      <sharedItems containsString="0" containsBlank="1" containsNumber="1" containsInteger="1" minValue="24" maxValue="58"/>
    </cacheField>
    <cacheField name="Tenure" numFmtId="0">
      <sharedItems containsString="0" containsBlank="1" containsNumber="1" containsInteger="1" minValue="1" maxValue="10"/>
    </cacheField>
    <cacheField name="Balance" numFmtId="0">
      <sharedItems containsString="0" containsBlank="1" containsNumber="1" minValue="0" maxValue="159660.79999999999"/>
    </cacheField>
    <cacheField name="NumOfProducts" numFmtId="0">
      <sharedItems containsString="0" containsBlank="1" containsNumber="1" containsInteger="1" minValue="1" maxValue="4"/>
    </cacheField>
    <cacheField name="HasCrCard" numFmtId="0">
      <sharedItems containsString="0" containsBlank="1" containsNumber="1" containsInteger="1" minValue="0" maxValue="1"/>
    </cacheField>
    <cacheField name="IsActiveMember" numFmtId="0">
      <sharedItems containsString="0" containsBlank="1" containsNumber="1" containsInteger="1" minValue="0" maxValue="1"/>
    </cacheField>
    <cacheField name="EstimatedSalary" numFmtId="0">
      <sharedItems containsString="0" containsBlank="1" containsNumber="1" minValue="5097.67" maxValue="190857.79"/>
    </cacheField>
    <cacheField name="Field1" numFmtId="0">
      <sharedItems containsNonDate="0" containsString="0" containsBlank="1"/>
    </cacheField>
    <cacheField name="Field2" numFmtId="0">
      <sharedItems containsNonDate="0" containsString="0" containsBlank="1"/>
    </cacheField>
    <cacheField name="Field3" numFmtId="0">
      <sharedItems containsBlank="1"/>
    </cacheField>
    <cacheField name="Field4" numFmtId="0">
      <sharedItems containsBlank="1" containsMixedTypes="1" containsNumber="1" minValue="-0.41520155161071415" maxValue="857"/>
    </cacheField>
    <cacheField name="Field5" numFmtId="0">
      <sharedItems containsBlank="1" containsMixedTypes="1" containsNumber="1" minValue="-0.31117375486341514" maxValue="1"/>
    </cacheField>
    <cacheField name="Field6" numFmtId="0">
      <sharedItems containsBlank="1" containsMixedTypes="1" containsNumber="1" minValue="-1.2739595719381702" maxValue="115"/>
    </cacheField>
    <cacheField name="Field7" numFmtId="0">
      <sharedItems containsBlank="1" containsMixedTypes="1" containsNumber="1" minValue="-0.13356448240170024" maxValue="1" count="20">
        <m/>
        <s v="Column3"/>
        <s v="Mean"/>
        <s v="Standard Error"/>
        <s v="Median"/>
        <s v="Mode"/>
        <s v="Standard Deviation"/>
        <s v="Sample Variance"/>
        <s v="Kurtosis"/>
        <s v="Skewness"/>
        <s v="Range"/>
        <s v="Minimum"/>
        <s v="Maximum"/>
        <s v="Sum"/>
        <s v="Count"/>
        <s v="Balance"/>
        <n v="1"/>
        <n v="0.12773263653600078"/>
        <n v="-0.13356448240170024"/>
        <n v="4.137031864506098E-2"/>
      </sharedItems>
    </cacheField>
    <cacheField name="Field8" numFmtId="0">
      <sharedItems containsBlank="1" containsMixedTypes="1" containsNumber="1" minValue="-1.8092906293129154" maxValue="4229341067.9802904"/>
    </cacheField>
    <cacheField name="Field9" numFmtId="0">
      <sharedItems containsBlank="1" containsMixedTypes="1" containsNumber="1" minValue="6.5795169495976955E-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9.616759143515" createdVersion="8" refreshedVersion="8" minRefreshableVersion="3" recordCount="24" xr:uid="{D31DB51F-6B07-4119-A2C7-5B4F09F9C1B6}">
  <cacheSource type="worksheet">
    <worksheetSource ref="A1:S30" sheet="Sheet9"/>
  </cacheSource>
  <cacheFields count="19">
    <cacheField name="Field1" numFmtId="0">
      <sharedItems containsBlank="1" containsMixedTypes="1" containsNumber="1" minValue="-0.13356448240170024" maxValue="1"/>
    </cacheField>
    <cacheField name="Field2" numFmtId="0">
      <sharedItems containsBlank="1" containsMixedTypes="1" containsNumber="1" containsInteger="1" minValue="0" maxValue="12"/>
    </cacheField>
    <cacheField name="Field3" numFmtId="0">
      <sharedItems containsNonDate="0" containsString="0" containsBlank="1"/>
    </cacheField>
    <cacheField name="Field4" numFmtId="0">
      <sharedItems containsNonDate="0" containsString="0" containsBlank="1"/>
    </cacheField>
    <cacheField name="Field5" numFmtId="0">
      <sharedItems containsNonDate="0" containsString="0" containsBlank="1" count="1">
        <m/>
      </sharedItems>
    </cacheField>
    <cacheField name="Field6" numFmtId="0">
      <sharedItems containsNonDate="0" containsString="0" containsBlank="1"/>
    </cacheField>
    <cacheField name="Field7" numFmtId="0">
      <sharedItems containsNonDate="0" containsString="0" containsBlank="1"/>
    </cacheField>
    <cacheField name="Field8" numFmtId="0">
      <sharedItems containsNonDate="0" containsString="0" containsBlank="1"/>
    </cacheField>
    <cacheField name="Field9" numFmtId="0">
      <sharedItems containsNonDate="0" containsString="0" containsBlank="1"/>
    </cacheField>
    <cacheField name="Field10" numFmtId="0">
      <sharedItems containsNonDate="0" containsString="0" containsBlank="1"/>
    </cacheField>
    <cacheField name="Field11" numFmtId="0">
      <sharedItems containsNonDate="0" containsString="0" containsBlank="1"/>
    </cacheField>
    <cacheField name="Field12" numFmtId="0">
      <sharedItems containsNonDate="0" containsString="0" containsBlank="1"/>
    </cacheField>
    <cacheField name="Field13" numFmtId="0">
      <sharedItems containsNonDate="0" containsString="0" containsBlank="1"/>
    </cacheField>
    <cacheField name="Field14" numFmtId="0">
      <sharedItems containsNonDate="0" containsString="0" containsBlank="1"/>
    </cacheField>
    <cacheField name="Field15" numFmtId="0">
      <sharedItems containsNonDate="0" containsString="0" containsBlank="1"/>
    </cacheField>
    <cacheField name="Field16" numFmtId="0">
      <sharedItems containsNonDate="0" containsString="0" containsBlank="1"/>
    </cacheField>
    <cacheField name="Field17" numFmtId="0">
      <sharedItems containsNonDate="0" containsString="0" containsBlank="1"/>
    </cacheField>
    <cacheField name="Field18" numFmtId="0">
      <sharedItems containsNonDate="0" containsString="0" containsBlank="1"/>
    </cacheField>
    <cacheField name="Field19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619"/>
    <s v="France"/>
    <s v="Female"/>
    <n v="42"/>
    <n v="2"/>
    <n v="0"/>
    <n v="1"/>
    <n v="1"/>
    <n v="1"/>
    <n v="101348.88"/>
    <m/>
    <m/>
    <s v="Descriptive Statistics"/>
    <m/>
    <m/>
    <m/>
    <x v="0"/>
    <m/>
    <m/>
  </r>
  <r>
    <n v="608"/>
    <s v="Spain"/>
    <s v="Female"/>
    <n v="41"/>
    <n v="1"/>
    <n v="83807.86"/>
    <n v="1"/>
    <n v="0"/>
    <n v="1"/>
    <n v="112542.58"/>
    <m/>
    <m/>
    <m/>
    <m/>
    <m/>
    <m/>
    <x v="0"/>
    <m/>
    <m/>
  </r>
  <r>
    <n v="502"/>
    <s v="France"/>
    <s v="Female"/>
    <n v="42"/>
    <n v="8"/>
    <n v="159660.79999999999"/>
    <n v="3"/>
    <n v="1"/>
    <n v="0"/>
    <n v="113931.57"/>
    <m/>
    <m/>
    <s v="Column1"/>
    <m/>
    <s v="Column2"/>
    <m/>
    <x v="1"/>
    <m/>
    <s v="Column4"/>
  </r>
  <r>
    <n v="699"/>
    <s v="France"/>
    <s v="Female"/>
    <n v="39"/>
    <n v="1"/>
    <n v="0"/>
    <n v="2"/>
    <n v="0"/>
    <n v="0"/>
    <n v="93826.63"/>
    <m/>
    <m/>
    <m/>
    <m/>
    <m/>
    <m/>
    <x v="0"/>
    <m/>
    <m/>
  </r>
  <r>
    <n v="850"/>
    <s v="Spain"/>
    <s v="Female"/>
    <n v="43"/>
    <n v="2"/>
    <n v="125510.82"/>
    <n v="1"/>
    <n v="1"/>
    <n v="1"/>
    <n v="79084.100000000006"/>
    <m/>
    <m/>
    <s v="Mean"/>
    <n v="37.260869565217391"/>
    <s v="Mean"/>
    <n v="5"/>
    <x v="2"/>
    <n v="54442.867826086956"/>
    <s v="Mean"/>
  </r>
  <r>
    <n v="645"/>
    <s v="Spain"/>
    <s v="Male"/>
    <n v="44"/>
    <n v="8"/>
    <n v="113755.78"/>
    <n v="2"/>
    <n v="1"/>
    <n v="0"/>
    <n v="149756.71"/>
    <m/>
    <m/>
    <s v="Standard Error"/>
    <n v="1.9102566838100323"/>
    <s v="Standard Error"/>
    <n v="0.58640729683945902"/>
    <x v="3"/>
    <n v="13560.398012595821"/>
    <s v="Standard Error"/>
  </r>
  <r>
    <n v="822"/>
    <s v="France"/>
    <s v="Male"/>
    <n v="50"/>
    <n v="7"/>
    <n v="0"/>
    <n v="2"/>
    <n v="1"/>
    <n v="1"/>
    <n v="10062.799999999999"/>
    <m/>
    <m/>
    <s v="Median"/>
    <n v="39"/>
    <s v="Median"/>
    <n v="5"/>
    <x v="4"/>
    <n v="0"/>
    <s v="Median"/>
  </r>
  <r>
    <n v="376"/>
    <s v="Germany"/>
    <s v="Female"/>
    <n v="29"/>
    <n v="4"/>
    <n v="115046.74"/>
    <n v="4"/>
    <n v="1"/>
    <n v="0"/>
    <n v="119346.88"/>
    <m/>
    <m/>
    <s v="Mode"/>
    <n v="24"/>
    <s v="Mode"/>
    <n v="8"/>
    <x v="5"/>
    <n v="0"/>
    <s v="Mode"/>
  </r>
  <r>
    <n v="501"/>
    <s v="France"/>
    <s v="Male"/>
    <n v="44"/>
    <n v="4"/>
    <n v="142051.07"/>
    <n v="2"/>
    <n v="0"/>
    <n v="1"/>
    <n v="74940.5"/>
    <m/>
    <m/>
    <s v="Standard Deviation"/>
    <n v="9.1612692218349707"/>
    <s v="Standard Deviation"/>
    <n v="2.8123105996832765"/>
    <x v="6"/>
    <n v="65033.384257474179"/>
    <s v="Standard Deviation"/>
  </r>
  <r>
    <n v="684"/>
    <s v="France"/>
    <s v="Male"/>
    <n v="27"/>
    <n v="2"/>
    <n v="134603.88"/>
    <n v="1"/>
    <n v="1"/>
    <n v="1"/>
    <n v="71725.73"/>
    <m/>
    <m/>
    <s v="Sample Variance"/>
    <n v="83.928853754940732"/>
    <s v="Sample Variance"/>
    <n v="7.9090909090909092"/>
    <x v="7"/>
    <n v="4229341067.9802904"/>
    <s v="Sample Variance"/>
  </r>
  <r>
    <n v="528"/>
    <s v="France"/>
    <s v="Male"/>
    <n v="31"/>
    <n v="6"/>
    <n v="102016.72"/>
    <n v="2"/>
    <n v="0"/>
    <n v="0"/>
    <n v="80181.119999999995"/>
    <m/>
    <m/>
    <s v="Kurtosis"/>
    <n v="-0.41520155161071415"/>
    <s v="Kurtosis"/>
    <n v="-1.2739595719381702"/>
    <x v="8"/>
    <n v="-1.8092906293129154"/>
    <s v="Kurtosis"/>
  </r>
  <r>
    <n v="497"/>
    <s v="Spain"/>
    <s v="Male"/>
    <n v="24"/>
    <n v="3"/>
    <n v="0"/>
    <n v="2"/>
    <n v="1"/>
    <n v="0"/>
    <n v="76390.009999999995"/>
    <m/>
    <m/>
    <s v="Skewness"/>
    <n v="0.13716990026941314"/>
    <s v="Skewness"/>
    <n v="5.3716443517344691E-2"/>
    <x v="9"/>
    <n v="0.42584701503209038"/>
    <s v="Skewness"/>
  </r>
  <r>
    <n v="476"/>
    <s v="France"/>
    <s v="Female"/>
    <n v="34"/>
    <n v="10"/>
    <n v="0"/>
    <n v="2"/>
    <n v="1"/>
    <n v="0"/>
    <n v="26260.98"/>
    <m/>
    <m/>
    <s v="Range"/>
    <n v="34"/>
    <s v="Range"/>
    <n v="9"/>
    <x v="10"/>
    <n v="159660.79999999999"/>
    <s v="Range"/>
  </r>
  <r>
    <n v="549"/>
    <s v="France"/>
    <s v="Female"/>
    <n v="25"/>
    <n v="5"/>
    <n v="0"/>
    <n v="2"/>
    <n v="0"/>
    <n v="0"/>
    <n v="190857.79"/>
    <m/>
    <m/>
    <s v="Minimum"/>
    <n v="24"/>
    <s v="Minimum"/>
    <n v="1"/>
    <x v="11"/>
    <n v="0"/>
    <s v="Minimum"/>
  </r>
  <r>
    <n v="635"/>
    <s v="Spain"/>
    <s v="Female"/>
    <n v="35"/>
    <n v="7"/>
    <n v="0"/>
    <n v="2"/>
    <n v="1"/>
    <n v="1"/>
    <n v="65951.649999999994"/>
    <m/>
    <m/>
    <s v="Maximum"/>
    <n v="58"/>
    <s v="Maximum"/>
    <n v="10"/>
    <x v="12"/>
    <n v="159660.79999999999"/>
    <s v="Maximum"/>
  </r>
  <r>
    <n v="616"/>
    <s v="Germany"/>
    <s v="Male"/>
    <n v="45"/>
    <n v="3"/>
    <n v="143129.41"/>
    <n v="2"/>
    <n v="0"/>
    <n v="1"/>
    <n v="64327.26"/>
    <m/>
    <m/>
    <s v="Sum"/>
    <n v="857"/>
    <s v="Sum"/>
    <n v="115"/>
    <x v="13"/>
    <n v="1252185.96"/>
    <s v="Sum"/>
  </r>
  <r>
    <n v="653"/>
    <s v="Germany"/>
    <s v="Male"/>
    <n v="58"/>
    <n v="1"/>
    <n v="132602.88"/>
    <n v="1"/>
    <n v="1"/>
    <n v="0"/>
    <n v="5097.67"/>
    <m/>
    <m/>
    <s v="Count"/>
    <n v="23"/>
    <s v="Count"/>
    <n v="23"/>
    <x v="14"/>
    <n v="23"/>
    <s v="Count"/>
  </r>
  <r>
    <n v="549"/>
    <s v="Spain"/>
    <s v="Female"/>
    <n v="24"/>
    <n v="9"/>
    <n v="0"/>
    <n v="2"/>
    <n v="1"/>
    <n v="1"/>
    <n v="14406.41"/>
    <m/>
    <m/>
    <m/>
    <m/>
    <m/>
    <m/>
    <x v="0"/>
    <m/>
    <m/>
  </r>
  <r>
    <n v="587"/>
    <s v="Spain"/>
    <s v="Male"/>
    <n v="45"/>
    <n v="6"/>
    <n v="0"/>
    <n v="1"/>
    <n v="0"/>
    <n v="0"/>
    <n v="158684.81"/>
    <m/>
    <m/>
    <m/>
    <m/>
    <m/>
    <m/>
    <x v="0"/>
    <m/>
    <m/>
  </r>
  <r>
    <n v="726"/>
    <s v="France"/>
    <s v="Female"/>
    <n v="24"/>
    <n v="6"/>
    <n v="0"/>
    <n v="2"/>
    <n v="1"/>
    <n v="1"/>
    <n v="54724.03"/>
    <m/>
    <m/>
    <m/>
    <m/>
    <s v="Correlation"/>
    <m/>
    <x v="0"/>
    <m/>
    <m/>
  </r>
  <r>
    <n v="732"/>
    <s v="France"/>
    <s v="Male"/>
    <n v="41"/>
    <n v="8"/>
    <n v="0"/>
    <n v="2"/>
    <n v="1"/>
    <n v="1"/>
    <n v="170886.17"/>
    <m/>
    <m/>
    <m/>
    <m/>
    <m/>
    <m/>
    <x v="0"/>
    <m/>
    <m/>
  </r>
  <r>
    <n v="636"/>
    <s v="Spain"/>
    <s v="Female"/>
    <n v="32"/>
    <n v="8"/>
    <n v="0"/>
    <n v="2"/>
    <n v="1"/>
    <n v="0"/>
    <n v="138555.46"/>
    <m/>
    <m/>
    <m/>
    <m/>
    <s v="Age"/>
    <s v="Tenure"/>
    <x v="15"/>
    <s v="NumOfProducts"/>
    <s v="HasCrCard"/>
  </r>
  <r>
    <n v="510"/>
    <s v="Spain"/>
    <s v="Female"/>
    <n v="38"/>
    <n v="4"/>
    <n v="0"/>
    <n v="1"/>
    <n v="1"/>
    <n v="0"/>
    <n v="118913.53"/>
    <m/>
    <m/>
    <m/>
    <s v="Age"/>
    <n v="1"/>
    <m/>
    <x v="0"/>
    <m/>
    <m/>
  </r>
  <r>
    <n v="669"/>
    <s v="France"/>
    <s v="Male"/>
    <n v="46"/>
    <n v="3"/>
    <n v="0"/>
    <n v="2"/>
    <n v="0"/>
    <n v="1"/>
    <n v="8487.75"/>
    <m/>
    <m/>
    <m/>
    <s v="Tenure"/>
    <n v="-0.21876612523431571"/>
    <n v="1"/>
    <x v="0"/>
    <m/>
    <m/>
  </r>
  <r>
    <m/>
    <m/>
    <m/>
    <m/>
    <m/>
    <m/>
    <m/>
    <m/>
    <m/>
    <m/>
    <m/>
    <m/>
    <m/>
    <s v="Balance"/>
    <n v="0.33582501427650507"/>
    <n v="-0.3149058779960906"/>
    <x v="16"/>
    <m/>
    <m/>
  </r>
  <r>
    <m/>
    <m/>
    <m/>
    <m/>
    <m/>
    <m/>
    <m/>
    <m/>
    <m/>
    <m/>
    <m/>
    <m/>
    <m/>
    <s v="NumOfProducts"/>
    <n v="-0.31117375486341514"/>
    <n v="0.40585894767904351"/>
    <x v="17"/>
    <n v="1"/>
    <m/>
  </r>
  <r>
    <m/>
    <m/>
    <m/>
    <m/>
    <m/>
    <m/>
    <m/>
    <m/>
    <m/>
    <m/>
    <m/>
    <m/>
    <m/>
    <s v="HasCrCard"/>
    <n v="-9.6748121117186808E-2"/>
    <n v="0.30918811529616408"/>
    <x v="18"/>
    <n v="0.10548162696116151"/>
    <n v="1"/>
  </r>
  <r>
    <m/>
    <m/>
    <m/>
    <m/>
    <m/>
    <m/>
    <m/>
    <m/>
    <m/>
    <m/>
    <m/>
    <m/>
    <m/>
    <s v="IsActiveMember"/>
    <n v="5.955267071059165E-2"/>
    <n v="-0.12657919214610616"/>
    <x v="19"/>
    <n v="-0.25910011025251817"/>
    <n v="6.5795169495976955E-2"/>
  </r>
  <r>
    <m/>
    <m/>
    <m/>
    <m/>
    <m/>
    <m/>
    <m/>
    <m/>
    <m/>
    <m/>
    <m/>
    <m/>
    <m/>
    <m/>
    <m/>
    <m/>
    <x v="0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m/>
    <m/>
    <m/>
    <m/>
    <x v="0"/>
    <m/>
    <m/>
    <m/>
    <m/>
    <m/>
    <m/>
    <m/>
    <m/>
    <m/>
    <m/>
    <m/>
    <m/>
    <m/>
    <m/>
  </r>
  <r>
    <s v="Row Labels"/>
    <s v="Sum of IsActiveMember"/>
    <m/>
    <m/>
    <x v="0"/>
    <m/>
    <m/>
    <m/>
    <m/>
    <m/>
    <m/>
    <m/>
    <m/>
    <m/>
    <m/>
    <m/>
    <m/>
    <m/>
    <m/>
  </r>
  <r>
    <n v="-0.13356448240170024"/>
    <m/>
    <m/>
    <m/>
    <x v="0"/>
    <m/>
    <m/>
    <m/>
    <m/>
    <m/>
    <m/>
    <m/>
    <m/>
    <m/>
    <m/>
    <m/>
    <m/>
    <m/>
    <m/>
  </r>
  <r>
    <n v="4.137031864506098E-2"/>
    <m/>
    <m/>
    <m/>
    <x v="0"/>
    <m/>
    <m/>
    <m/>
    <m/>
    <m/>
    <m/>
    <m/>
    <m/>
    <m/>
    <m/>
    <m/>
    <m/>
    <m/>
    <m/>
  </r>
  <r>
    <n v="0.12773263653600078"/>
    <m/>
    <m/>
    <m/>
    <x v="0"/>
    <m/>
    <m/>
    <m/>
    <m/>
    <m/>
    <m/>
    <m/>
    <m/>
    <m/>
    <m/>
    <m/>
    <m/>
    <m/>
    <m/>
  </r>
  <r>
    <n v="1"/>
    <m/>
    <m/>
    <m/>
    <x v="0"/>
    <m/>
    <m/>
    <m/>
    <m/>
    <m/>
    <m/>
    <m/>
    <m/>
    <m/>
    <m/>
    <m/>
    <m/>
    <m/>
    <m/>
  </r>
  <r>
    <s v="Balance"/>
    <n v="0"/>
    <m/>
    <m/>
    <x v="0"/>
    <m/>
    <m/>
    <m/>
    <m/>
    <m/>
    <m/>
    <m/>
    <m/>
    <m/>
    <m/>
    <m/>
    <m/>
    <m/>
    <m/>
  </r>
  <r>
    <s v="Column3"/>
    <n v="0"/>
    <m/>
    <m/>
    <x v="0"/>
    <m/>
    <m/>
    <m/>
    <m/>
    <m/>
    <m/>
    <m/>
    <m/>
    <m/>
    <m/>
    <m/>
    <m/>
    <m/>
    <m/>
  </r>
  <r>
    <s v="Count"/>
    <n v="0"/>
    <m/>
    <m/>
    <x v="0"/>
    <m/>
    <m/>
    <m/>
    <m/>
    <m/>
    <m/>
    <m/>
    <m/>
    <m/>
    <m/>
    <m/>
    <m/>
    <m/>
    <m/>
  </r>
  <r>
    <s v="Kurtosis"/>
    <n v="0"/>
    <m/>
    <m/>
    <x v="0"/>
    <m/>
    <m/>
    <m/>
    <m/>
    <m/>
    <m/>
    <m/>
    <m/>
    <m/>
    <m/>
    <m/>
    <m/>
    <m/>
    <m/>
  </r>
  <r>
    <s v="Maximum"/>
    <n v="1"/>
    <m/>
    <m/>
    <x v="0"/>
    <m/>
    <m/>
    <m/>
    <m/>
    <m/>
    <m/>
    <m/>
    <m/>
    <m/>
    <m/>
    <m/>
    <m/>
    <m/>
    <m/>
  </r>
  <r>
    <s v="Mean"/>
    <n v="1"/>
    <m/>
    <m/>
    <x v="0"/>
    <m/>
    <m/>
    <m/>
    <m/>
    <m/>
    <m/>
    <m/>
    <m/>
    <m/>
    <m/>
    <m/>
    <m/>
    <m/>
    <m/>
  </r>
  <r>
    <s v="Median"/>
    <n v="1"/>
    <m/>
    <m/>
    <x v="0"/>
    <m/>
    <m/>
    <m/>
    <m/>
    <m/>
    <m/>
    <m/>
    <m/>
    <m/>
    <m/>
    <m/>
    <m/>
    <m/>
    <m/>
  </r>
  <r>
    <s v="Minimum"/>
    <n v="0"/>
    <m/>
    <m/>
    <x v="0"/>
    <m/>
    <m/>
    <m/>
    <m/>
    <m/>
    <m/>
    <m/>
    <m/>
    <m/>
    <m/>
    <m/>
    <m/>
    <m/>
    <m/>
  </r>
  <r>
    <s v="Mode"/>
    <n v="0"/>
    <m/>
    <m/>
    <x v="0"/>
    <m/>
    <m/>
    <m/>
    <m/>
    <m/>
    <m/>
    <m/>
    <m/>
    <m/>
    <m/>
    <m/>
    <m/>
    <m/>
    <m/>
  </r>
  <r>
    <s v="Range"/>
    <n v="0"/>
    <m/>
    <m/>
    <x v="0"/>
    <m/>
    <m/>
    <m/>
    <m/>
    <m/>
    <m/>
    <m/>
    <m/>
    <m/>
    <m/>
    <m/>
    <m/>
    <m/>
    <m/>
  </r>
  <r>
    <s v="Sample Variance"/>
    <n v="1"/>
    <m/>
    <m/>
    <x v="0"/>
    <m/>
    <m/>
    <m/>
    <m/>
    <m/>
    <m/>
    <m/>
    <m/>
    <m/>
    <m/>
    <m/>
    <m/>
    <m/>
    <m/>
  </r>
  <r>
    <s v="Skewness"/>
    <n v="0"/>
    <m/>
    <m/>
    <x v="0"/>
    <m/>
    <m/>
    <m/>
    <m/>
    <m/>
    <m/>
    <m/>
    <m/>
    <m/>
    <m/>
    <m/>
    <m/>
    <m/>
    <m/>
  </r>
  <r>
    <s v="Standard Deviation"/>
    <n v="1"/>
    <m/>
    <m/>
    <x v="0"/>
    <m/>
    <m/>
    <m/>
    <m/>
    <m/>
    <m/>
    <m/>
    <m/>
    <m/>
    <m/>
    <m/>
    <m/>
    <m/>
    <m/>
  </r>
  <r>
    <s v="Standard Error"/>
    <n v="0"/>
    <m/>
    <m/>
    <x v="0"/>
    <m/>
    <m/>
    <m/>
    <m/>
    <m/>
    <m/>
    <m/>
    <m/>
    <m/>
    <m/>
    <m/>
    <m/>
    <m/>
    <m/>
  </r>
  <r>
    <s v="Sum"/>
    <n v="1"/>
    <m/>
    <m/>
    <x v="0"/>
    <m/>
    <m/>
    <m/>
    <m/>
    <m/>
    <m/>
    <m/>
    <m/>
    <m/>
    <m/>
    <m/>
    <m/>
    <m/>
    <m/>
  </r>
  <r>
    <s v="(blank)"/>
    <n v="6"/>
    <m/>
    <m/>
    <x v="0"/>
    <m/>
    <m/>
    <m/>
    <m/>
    <m/>
    <m/>
    <m/>
    <m/>
    <m/>
    <m/>
    <m/>
    <m/>
    <m/>
    <m/>
  </r>
  <r>
    <s v="Grand Total"/>
    <n v="12"/>
    <m/>
    <m/>
    <x v="0"/>
    <m/>
    <m/>
    <m/>
    <m/>
    <m/>
    <m/>
    <m/>
    <m/>
    <m/>
    <m/>
    <m/>
    <m/>
    <m/>
    <m/>
  </r>
  <r>
    <m/>
    <m/>
    <m/>
    <m/>
    <x v="0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62CE3-0F0E-44BF-913F-D8C8AB57F6C2}" name="PivotTable2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19"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">
    <i>
      <x/>
    </i>
    <i t="grand">
      <x/>
    </i>
  </rowItems>
  <colItems count="1">
    <i/>
  </colItems>
  <dataFields count="1">
    <dataField name="Sum of Field12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187D0-0C7A-4E70-B19F-C08F7D21497B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18"/>
        <item x="19"/>
        <item x="17"/>
        <item x="16"/>
        <item x="15"/>
        <item x="1"/>
        <item x="14"/>
        <item x="8"/>
        <item x="12"/>
        <item x="2"/>
        <item x="4"/>
        <item x="11"/>
        <item x="5"/>
        <item x="10"/>
        <item x="7"/>
        <item x="9"/>
        <item x="6"/>
        <item x="3"/>
        <item x="13"/>
        <item x="0"/>
        <item t="default"/>
      </items>
    </pivotField>
    <pivotField showAll="0"/>
    <pivotField showAll="0"/>
  </pivotFields>
  <rowFields count="1">
    <field x="16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IsActiveMember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BB055-D27B-4670-AC3C-626ADC00C7FE}">
  <sheetPr codeName="Sheet1"/>
  <dimension ref="A1:H8"/>
  <sheetViews>
    <sheetView workbookViewId="0">
      <selection activeCell="I19" sqref="I19"/>
    </sheetView>
  </sheetViews>
  <sheetFormatPr defaultRowHeight="15" x14ac:dyDescent="0.25"/>
  <sheetData>
    <row r="1" spans="1:8" x14ac:dyDescent="0.25">
      <c r="A1" s="2"/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</row>
    <row r="2" spans="1:8" x14ac:dyDescent="0.25">
      <c r="A2" t="s">
        <v>35</v>
      </c>
      <c r="B2">
        <v>1</v>
      </c>
    </row>
    <row r="3" spans="1:8" x14ac:dyDescent="0.25">
      <c r="A3" t="s">
        <v>36</v>
      </c>
      <c r="B3">
        <v>-0.21876612523431571</v>
      </c>
      <c r="C3">
        <v>1</v>
      </c>
    </row>
    <row r="4" spans="1:8" x14ac:dyDescent="0.25">
      <c r="A4" t="s">
        <v>37</v>
      </c>
      <c r="B4">
        <v>0.33582501427650507</v>
      </c>
      <c r="C4">
        <v>-0.3149058779960906</v>
      </c>
      <c r="D4">
        <v>1</v>
      </c>
    </row>
    <row r="5" spans="1:8" x14ac:dyDescent="0.25">
      <c r="A5" t="s">
        <v>38</v>
      </c>
      <c r="B5">
        <v>-0.31117375486341514</v>
      </c>
      <c r="C5">
        <v>0.40585894767904351</v>
      </c>
      <c r="D5">
        <v>0.12773263653600078</v>
      </c>
      <c r="E5">
        <v>1</v>
      </c>
    </row>
    <row r="6" spans="1:8" x14ac:dyDescent="0.25">
      <c r="A6" t="s">
        <v>39</v>
      </c>
      <c r="B6">
        <v>-9.6748121117186808E-2</v>
      </c>
      <c r="C6">
        <v>0.30918811529616408</v>
      </c>
      <c r="D6">
        <v>-0.13356448240170024</v>
      </c>
      <c r="E6">
        <v>0.10548162696116151</v>
      </c>
      <c r="F6">
        <v>1</v>
      </c>
    </row>
    <row r="7" spans="1:8" x14ac:dyDescent="0.25">
      <c r="A7" t="s">
        <v>40</v>
      </c>
      <c r="B7">
        <v>5.955267071059165E-2</v>
      </c>
      <c r="C7">
        <v>-0.12657919214610616</v>
      </c>
      <c r="D7">
        <v>4.137031864506098E-2</v>
      </c>
      <c r="E7">
        <v>-0.25910011025251817</v>
      </c>
      <c r="F7">
        <v>6.5795169495976955E-2</v>
      </c>
      <c r="G7">
        <v>1</v>
      </c>
    </row>
    <row r="8" spans="1:8" ht="15.75" thickBot="1" x14ac:dyDescent="0.3">
      <c r="A8" s="1" t="s">
        <v>41</v>
      </c>
      <c r="B8" s="1">
        <v>-0.11672207926151436</v>
      </c>
      <c r="C8" s="1">
        <v>4.9804676519140709E-2</v>
      </c>
      <c r="D8" s="1">
        <v>-9.8885394534706184E-2</v>
      </c>
      <c r="E8" s="1">
        <v>8.5922571013398938E-2</v>
      </c>
      <c r="F8" s="1">
        <v>-0.26312677328022399</v>
      </c>
      <c r="G8" s="1">
        <v>-0.31523574524188402</v>
      </c>
      <c r="H8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2162F-6387-4021-807F-38D466649FCE}">
  <sheetPr codeName="Sheet2"/>
  <dimension ref="A1:N15"/>
  <sheetViews>
    <sheetView workbookViewId="0">
      <selection sqref="A1:N15"/>
    </sheetView>
  </sheetViews>
  <sheetFormatPr defaultRowHeight="15" x14ac:dyDescent="0.25"/>
  <sheetData>
    <row r="1" spans="1:14" x14ac:dyDescent="0.25">
      <c r="A1" s="2" t="s">
        <v>15</v>
      </c>
      <c r="B1" s="2"/>
      <c r="C1" s="2" t="s">
        <v>16</v>
      </c>
      <c r="D1" s="2"/>
      <c r="E1" s="2" t="s">
        <v>17</v>
      </c>
      <c r="F1" s="2"/>
      <c r="G1" s="2" t="s">
        <v>18</v>
      </c>
      <c r="H1" s="2"/>
      <c r="I1" s="2" t="s">
        <v>19</v>
      </c>
      <c r="J1" s="2"/>
      <c r="K1" s="2" t="s">
        <v>20</v>
      </c>
      <c r="L1" s="2"/>
      <c r="M1" s="2" t="s">
        <v>21</v>
      </c>
      <c r="N1" s="2"/>
    </row>
    <row r="3" spans="1:14" x14ac:dyDescent="0.25">
      <c r="A3" t="s">
        <v>22</v>
      </c>
      <c r="B3">
        <v>37.260869565217391</v>
      </c>
      <c r="C3" t="s">
        <v>22</v>
      </c>
      <c r="D3">
        <v>5</v>
      </c>
      <c r="E3" t="s">
        <v>22</v>
      </c>
      <c r="F3">
        <v>54442.867826086956</v>
      </c>
      <c r="G3" t="s">
        <v>22</v>
      </c>
      <c r="H3">
        <v>1.826086956521739</v>
      </c>
      <c r="I3" t="s">
        <v>22</v>
      </c>
      <c r="J3">
        <v>0.69565217391304346</v>
      </c>
      <c r="K3" t="s">
        <v>22</v>
      </c>
      <c r="L3">
        <v>0.47826086956521741</v>
      </c>
      <c r="M3" t="s">
        <v>22</v>
      </c>
      <c r="N3">
        <v>90947.968260869558</v>
      </c>
    </row>
    <row r="4" spans="1:14" x14ac:dyDescent="0.25">
      <c r="A4" t="s">
        <v>23</v>
      </c>
      <c r="B4">
        <v>1.9102566838100323</v>
      </c>
      <c r="C4" t="s">
        <v>23</v>
      </c>
      <c r="D4">
        <v>0.58640729683945902</v>
      </c>
      <c r="E4" t="s">
        <v>23</v>
      </c>
      <c r="F4">
        <v>13560.398012595821</v>
      </c>
      <c r="G4" t="s">
        <v>23</v>
      </c>
      <c r="H4">
        <v>0.14946775020702793</v>
      </c>
      <c r="I4" t="s">
        <v>23</v>
      </c>
      <c r="J4">
        <v>9.8100186924828928E-2</v>
      </c>
      <c r="K4" t="s">
        <v>23</v>
      </c>
      <c r="L4">
        <v>0.10649955403405124</v>
      </c>
      <c r="M4" t="s">
        <v>23</v>
      </c>
      <c r="N4">
        <v>10621.089457997856</v>
      </c>
    </row>
    <row r="5" spans="1:14" x14ac:dyDescent="0.25">
      <c r="A5" t="s">
        <v>24</v>
      </c>
      <c r="B5">
        <v>39</v>
      </c>
      <c r="C5" t="s">
        <v>24</v>
      </c>
      <c r="D5">
        <v>5</v>
      </c>
      <c r="E5" t="s">
        <v>24</v>
      </c>
      <c r="F5">
        <v>0</v>
      </c>
      <c r="G5" t="s">
        <v>24</v>
      </c>
      <c r="H5">
        <v>2</v>
      </c>
      <c r="I5" t="s">
        <v>24</v>
      </c>
      <c r="J5">
        <v>1</v>
      </c>
      <c r="K5" t="s">
        <v>24</v>
      </c>
      <c r="L5">
        <v>0</v>
      </c>
      <c r="M5" t="s">
        <v>24</v>
      </c>
      <c r="N5">
        <v>80181.119999999995</v>
      </c>
    </row>
    <row r="6" spans="1:14" x14ac:dyDescent="0.25">
      <c r="A6" t="s">
        <v>25</v>
      </c>
      <c r="B6">
        <v>24</v>
      </c>
      <c r="C6" t="s">
        <v>25</v>
      </c>
      <c r="D6">
        <v>8</v>
      </c>
      <c r="E6" t="s">
        <v>25</v>
      </c>
      <c r="F6">
        <v>0</v>
      </c>
      <c r="G6" t="s">
        <v>25</v>
      </c>
      <c r="H6">
        <v>2</v>
      </c>
      <c r="I6" t="s">
        <v>25</v>
      </c>
      <c r="J6">
        <v>1</v>
      </c>
      <c r="K6" t="s">
        <v>25</v>
      </c>
      <c r="L6">
        <v>0</v>
      </c>
      <c r="M6" t="s">
        <v>25</v>
      </c>
      <c r="N6" t="e">
        <v>#N/A</v>
      </c>
    </row>
    <row r="7" spans="1:14" x14ac:dyDescent="0.25">
      <c r="A7" t="s">
        <v>26</v>
      </c>
      <c r="B7">
        <v>9.1612692218349707</v>
      </c>
      <c r="C7" t="s">
        <v>26</v>
      </c>
      <c r="D7">
        <v>2.8123105996832765</v>
      </c>
      <c r="E7" t="s">
        <v>26</v>
      </c>
      <c r="F7">
        <v>65033.384257474179</v>
      </c>
      <c r="G7" t="s">
        <v>26</v>
      </c>
      <c r="H7">
        <v>0.71682214816149581</v>
      </c>
      <c r="I7" t="s">
        <v>26</v>
      </c>
      <c r="J7">
        <v>0.4704719688969648</v>
      </c>
      <c r="K7" t="s">
        <v>26</v>
      </c>
      <c r="L7">
        <v>0.5107539184552492</v>
      </c>
      <c r="M7" t="s">
        <v>26</v>
      </c>
      <c r="N7">
        <v>50936.955634590522</v>
      </c>
    </row>
    <row r="8" spans="1:14" x14ac:dyDescent="0.25">
      <c r="A8" t="s">
        <v>27</v>
      </c>
      <c r="B8">
        <v>83.928853754940732</v>
      </c>
      <c r="C8" t="s">
        <v>27</v>
      </c>
      <c r="D8">
        <v>7.9090909090909092</v>
      </c>
      <c r="E8" t="s">
        <v>27</v>
      </c>
      <c r="F8">
        <v>4229341067.9802904</v>
      </c>
      <c r="G8" t="s">
        <v>27</v>
      </c>
      <c r="H8">
        <v>0.51383399209486147</v>
      </c>
      <c r="I8" t="s">
        <v>27</v>
      </c>
      <c r="J8">
        <v>0.22134387351778659</v>
      </c>
      <c r="K8" t="s">
        <v>27</v>
      </c>
      <c r="L8">
        <v>0.2608695652173913</v>
      </c>
      <c r="M8" t="s">
        <v>27</v>
      </c>
      <c r="N8">
        <v>2594573449.3202434</v>
      </c>
    </row>
    <row r="9" spans="1:14" x14ac:dyDescent="0.25">
      <c r="A9" t="s">
        <v>28</v>
      </c>
      <c r="B9">
        <v>-0.41520155161071415</v>
      </c>
      <c r="C9" t="s">
        <v>28</v>
      </c>
      <c r="D9">
        <v>-1.2739595719381702</v>
      </c>
      <c r="E9" t="s">
        <v>28</v>
      </c>
      <c r="F9">
        <v>-1.8092906293129154</v>
      </c>
      <c r="G9" t="s">
        <v>28</v>
      </c>
      <c r="H9">
        <v>2.7665325443786912</v>
      </c>
      <c r="I9" t="s">
        <v>28</v>
      </c>
      <c r="J9">
        <v>-1.2908163265306154</v>
      </c>
      <c r="K9" t="s">
        <v>28</v>
      </c>
      <c r="L9">
        <v>-2.1904761904761916</v>
      </c>
      <c r="M9" t="s">
        <v>28</v>
      </c>
      <c r="N9">
        <v>-0.50869108715194766</v>
      </c>
    </row>
    <row r="10" spans="1:14" x14ac:dyDescent="0.25">
      <c r="A10" t="s">
        <v>29</v>
      </c>
      <c r="B10">
        <v>0.13716990026941314</v>
      </c>
      <c r="C10" t="s">
        <v>29</v>
      </c>
      <c r="D10">
        <v>5.3716443517344691E-2</v>
      </c>
      <c r="E10" t="s">
        <v>29</v>
      </c>
      <c r="F10">
        <v>0.42584701503209038</v>
      </c>
      <c r="G10" t="s">
        <v>29</v>
      </c>
      <c r="H10">
        <v>1.0838435711225269</v>
      </c>
      <c r="I10" t="s">
        <v>29</v>
      </c>
      <c r="J10">
        <v>-0.910939347940806</v>
      </c>
      <c r="K10" t="s">
        <v>29</v>
      </c>
      <c r="L10">
        <v>9.3232858130720089E-2</v>
      </c>
      <c r="M10" t="s">
        <v>29</v>
      </c>
      <c r="N10">
        <v>8.214924960470231E-2</v>
      </c>
    </row>
    <row r="11" spans="1:14" x14ac:dyDescent="0.25">
      <c r="A11" t="s">
        <v>30</v>
      </c>
      <c r="B11">
        <v>34</v>
      </c>
      <c r="C11" t="s">
        <v>30</v>
      </c>
      <c r="D11">
        <v>9</v>
      </c>
      <c r="E11" t="s">
        <v>30</v>
      </c>
      <c r="F11">
        <v>159660.79999999999</v>
      </c>
      <c r="G11" t="s">
        <v>30</v>
      </c>
      <c r="H11">
        <v>3</v>
      </c>
      <c r="I11" t="s">
        <v>30</v>
      </c>
      <c r="J11">
        <v>1</v>
      </c>
      <c r="K11" t="s">
        <v>30</v>
      </c>
      <c r="L11">
        <v>1</v>
      </c>
      <c r="M11" t="s">
        <v>30</v>
      </c>
      <c r="N11">
        <v>185760.12</v>
      </c>
    </row>
    <row r="12" spans="1:14" x14ac:dyDescent="0.25">
      <c r="A12" t="s">
        <v>31</v>
      </c>
      <c r="B12">
        <v>24</v>
      </c>
      <c r="C12" t="s">
        <v>31</v>
      </c>
      <c r="D12">
        <v>1</v>
      </c>
      <c r="E12" t="s">
        <v>31</v>
      </c>
      <c r="F12">
        <v>0</v>
      </c>
      <c r="G12" t="s">
        <v>31</v>
      </c>
      <c r="H12">
        <v>1</v>
      </c>
      <c r="I12" t="s">
        <v>31</v>
      </c>
      <c r="J12">
        <v>0</v>
      </c>
      <c r="K12" t="s">
        <v>31</v>
      </c>
      <c r="L12">
        <v>0</v>
      </c>
      <c r="M12" t="s">
        <v>31</v>
      </c>
      <c r="N12">
        <v>5097.67</v>
      </c>
    </row>
    <row r="13" spans="1:14" x14ac:dyDescent="0.25">
      <c r="A13" t="s">
        <v>32</v>
      </c>
      <c r="B13">
        <v>58</v>
      </c>
      <c r="C13" t="s">
        <v>32</v>
      </c>
      <c r="D13">
        <v>10</v>
      </c>
      <c r="E13" t="s">
        <v>32</v>
      </c>
      <c r="F13">
        <v>159660.79999999999</v>
      </c>
      <c r="G13" t="s">
        <v>32</v>
      </c>
      <c r="H13">
        <v>4</v>
      </c>
      <c r="I13" t="s">
        <v>32</v>
      </c>
      <c r="J13">
        <v>1</v>
      </c>
      <c r="K13" t="s">
        <v>32</v>
      </c>
      <c r="L13">
        <v>1</v>
      </c>
      <c r="M13" t="s">
        <v>32</v>
      </c>
      <c r="N13">
        <v>190857.79</v>
      </c>
    </row>
    <row r="14" spans="1:14" x14ac:dyDescent="0.25">
      <c r="A14" t="s">
        <v>33</v>
      </c>
      <c r="B14">
        <v>857</v>
      </c>
      <c r="C14" t="s">
        <v>33</v>
      </c>
      <c r="D14">
        <v>115</v>
      </c>
      <c r="E14" t="s">
        <v>33</v>
      </c>
      <c r="F14">
        <v>1252185.96</v>
      </c>
      <c r="G14" t="s">
        <v>33</v>
      </c>
      <c r="H14">
        <v>42</v>
      </c>
      <c r="I14" t="s">
        <v>33</v>
      </c>
      <c r="J14">
        <v>16</v>
      </c>
      <c r="K14" t="s">
        <v>33</v>
      </c>
      <c r="L14">
        <v>11</v>
      </c>
      <c r="M14" t="s">
        <v>33</v>
      </c>
      <c r="N14">
        <v>2091803.2699999998</v>
      </c>
    </row>
    <row r="15" spans="1:14" ht="15.75" thickBot="1" x14ac:dyDescent="0.3">
      <c r="A15" s="1" t="s">
        <v>34</v>
      </c>
      <c r="B15" s="1">
        <v>23</v>
      </c>
      <c r="C15" s="1" t="s">
        <v>34</v>
      </c>
      <c r="D15" s="1">
        <v>23</v>
      </c>
      <c r="E15" s="1" t="s">
        <v>34</v>
      </c>
      <c r="F15" s="1">
        <v>23</v>
      </c>
      <c r="G15" s="1" t="s">
        <v>34</v>
      </c>
      <c r="H15" s="1">
        <v>23</v>
      </c>
      <c r="I15" s="1" t="s">
        <v>34</v>
      </c>
      <c r="J15" s="1">
        <v>23</v>
      </c>
      <c r="K15" s="1" t="s">
        <v>34</v>
      </c>
      <c r="L15" s="1">
        <v>23</v>
      </c>
      <c r="M15" s="1" t="s">
        <v>34</v>
      </c>
      <c r="N15" s="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ECF1-7831-4B7B-AAFD-55881970BED9}">
  <sheetPr codeName="Sheet3"/>
  <dimension ref="A1:G36"/>
  <sheetViews>
    <sheetView topLeftCell="A28" workbookViewId="0">
      <selection activeCell="G32" sqref="G32:G33"/>
    </sheetView>
  </sheetViews>
  <sheetFormatPr defaultRowHeight="15" x14ac:dyDescent="0.25"/>
  <sheetData>
    <row r="1" spans="1:5" x14ac:dyDescent="0.25">
      <c r="A1" t="s">
        <v>42</v>
      </c>
    </row>
    <row r="3" spans="1:5" ht="15.75" thickBot="1" x14ac:dyDescent="0.3">
      <c r="A3" t="s">
        <v>43</v>
      </c>
    </row>
    <row r="4" spans="1:5" x14ac:dyDescent="0.25">
      <c r="A4" s="2" t="s">
        <v>44</v>
      </c>
      <c r="B4" s="2" t="s">
        <v>34</v>
      </c>
      <c r="C4" s="2" t="s">
        <v>33</v>
      </c>
      <c r="D4" s="2" t="s">
        <v>45</v>
      </c>
      <c r="E4" s="2" t="s">
        <v>46</v>
      </c>
    </row>
    <row r="5" spans="1:5" x14ac:dyDescent="0.25">
      <c r="A5">
        <v>42</v>
      </c>
      <c r="B5">
        <v>2</v>
      </c>
      <c r="C5">
        <v>2</v>
      </c>
      <c r="D5">
        <v>1</v>
      </c>
      <c r="E5">
        <v>2</v>
      </c>
    </row>
    <row r="6" spans="1:5" x14ac:dyDescent="0.25">
      <c r="A6">
        <v>41</v>
      </c>
      <c r="B6">
        <v>2</v>
      </c>
      <c r="C6">
        <v>83808.86</v>
      </c>
      <c r="D6">
        <v>41904.43</v>
      </c>
      <c r="E6">
        <v>3511794891.5297999</v>
      </c>
    </row>
    <row r="7" spans="1:5" x14ac:dyDescent="0.25">
      <c r="A7">
        <v>42</v>
      </c>
      <c r="B7">
        <v>2</v>
      </c>
      <c r="C7">
        <v>159668.79999999999</v>
      </c>
      <c r="D7">
        <v>79834.399999999994</v>
      </c>
      <c r="E7">
        <v>12744508273.919998</v>
      </c>
    </row>
    <row r="8" spans="1:5" x14ac:dyDescent="0.25">
      <c r="A8">
        <v>39</v>
      </c>
      <c r="B8">
        <v>2</v>
      </c>
      <c r="C8">
        <v>1</v>
      </c>
      <c r="D8">
        <v>0.5</v>
      </c>
      <c r="E8">
        <v>0.5</v>
      </c>
    </row>
    <row r="9" spans="1:5" x14ac:dyDescent="0.25">
      <c r="A9">
        <v>43</v>
      </c>
      <c r="B9">
        <v>2</v>
      </c>
      <c r="C9">
        <v>125512.82</v>
      </c>
      <c r="D9">
        <v>62756.41</v>
      </c>
      <c r="E9">
        <v>7876231948.8962002</v>
      </c>
    </row>
    <row r="10" spans="1:5" x14ac:dyDescent="0.25">
      <c r="A10">
        <v>44</v>
      </c>
      <c r="B10">
        <v>2</v>
      </c>
      <c r="C10">
        <v>113763.78</v>
      </c>
      <c r="D10">
        <v>56881.89</v>
      </c>
      <c r="E10">
        <v>6469278727.4642</v>
      </c>
    </row>
    <row r="11" spans="1:5" x14ac:dyDescent="0.25">
      <c r="A11">
        <v>50</v>
      </c>
      <c r="B11">
        <v>2</v>
      </c>
      <c r="C11">
        <v>7</v>
      </c>
      <c r="D11">
        <v>3.5</v>
      </c>
      <c r="E11">
        <v>24.5</v>
      </c>
    </row>
    <row r="12" spans="1:5" x14ac:dyDescent="0.25">
      <c r="A12">
        <v>29</v>
      </c>
      <c r="B12">
        <v>2</v>
      </c>
      <c r="C12">
        <v>115050.74</v>
      </c>
      <c r="D12">
        <v>57525.37</v>
      </c>
      <c r="E12">
        <v>6617416013.3538008</v>
      </c>
    </row>
    <row r="13" spans="1:5" x14ac:dyDescent="0.25">
      <c r="A13">
        <v>44</v>
      </c>
      <c r="B13">
        <v>2</v>
      </c>
      <c r="C13">
        <v>142055.07</v>
      </c>
      <c r="D13">
        <v>71027.535000000003</v>
      </c>
      <c r="E13">
        <v>10088685047.79245</v>
      </c>
    </row>
    <row r="14" spans="1:5" x14ac:dyDescent="0.25">
      <c r="A14">
        <v>27</v>
      </c>
      <c r="B14">
        <v>2</v>
      </c>
      <c r="C14">
        <v>134605.88</v>
      </c>
      <c r="D14">
        <v>67302.94</v>
      </c>
      <c r="E14">
        <v>9058833049.7672005</v>
      </c>
    </row>
    <row r="15" spans="1:5" x14ac:dyDescent="0.25">
      <c r="A15">
        <v>31</v>
      </c>
      <c r="B15">
        <v>2</v>
      </c>
      <c r="C15">
        <v>102022.72</v>
      </c>
      <c r="D15">
        <v>51011.360000000001</v>
      </c>
      <c r="E15">
        <v>5203093497.4592009</v>
      </c>
    </row>
    <row r="16" spans="1:5" x14ac:dyDescent="0.25">
      <c r="A16">
        <v>24</v>
      </c>
      <c r="B16">
        <v>2</v>
      </c>
      <c r="C16">
        <v>3</v>
      </c>
      <c r="D16">
        <v>1.5</v>
      </c>
      <c r="E16">
        <v>4.5</v>
      </c>
    </row>
    <row r="17" spans="1:7" x14ac:dyDescent="0.25">
      <c r="A17">
        <v>34</v>
      </c>
      <c r="B17">
        <v>2</v>
      </c>
      <c r="C17">
        <v>10</v>
      </c>
      <c r="D17">
        <v>5</v>
      </c>
      <c r="E17">
        <v>50</v>
      </c>
    </row>
    <row r="18" spans="1:7" x14ac:dyDescent="0.25">
      <c r="A18">
        <v>25</v>
      </c>
      <c r="B18">
        <v>2</v>
      </c>
      <c r="C18">
        <v>5</v>
      </c>
      <c r="D18">
        <v>2.5</v>
      </c>
      <c r="E18">
        <v>12.5</v>
      </c>
    </row>
    <row r="19" spans="1:7" x14ac:dyDescent="0.25">
      <c r="A19">
        <v>35</v>
      </c>
      <c r="B19">
        <v>2</v>
      </c>
      <c r="C19">
        <v>7</v>
      </c>
      <c r="D19">
        <v>3.5</v>
      </c>
      <c r="E19">
        <v>24.5</v>
      </c>
    </row>
    <row r="20" spans="1:7" x14ac:dyDescent="0.25">
      <c r="A20">
        <v>45</v>
      </c>
      <c r="B20">
        <v>2</v>
      </c>
      <c r="C20">
        <v>143132.41</v>
      </c>
      <c r="D20">
        <v>71566.205000000002</v>
      </c>
      <c r="E20">
        <v>10242584619.744051</v>
      </c>
    </row>
    <row r="21" spans="1:7" x14ac:dyDescent="0.25">
      <c r="A21">
        <v>58</v>
      </c>
      <c r="B21">
        <v>2</v>
      </c>
      <c r="C21">
        <v>132603.88</v>
      </c>
      <c r="D21">
        <v>66301.94</v>
      </c>
      <c r="E21">
        <v>8791629289.7672024</v>
      </c>
    </row>
    <row r="22" spans="1:7" x14ac:dyDescent="0.25">
      <c r="A22">
        <v>24</v>
      </c>
      <c r="B22">
        <v>2</v>
      </c>
      <c r="C22">
        <v>9</v>
      </c>
      <c r="D22">
        <v>4.5</v>
      </c>
      <c r="E22">
        <v>40.5</v>
      </c>
    </row>
    <row r="23" spans="1:7" x14ac:dyDescent="0.25">
      <c r="A23">
        <v>45</v>
      </c>
      <c r="B23">
        <v>2</v>
      </c>
      <c r="C23">
        <v>6</v>
      </c>
      <c r="D23">
        <v>3</v>
      </c>
      <c r="E23">
        <v>18</v>
      </c>
    </row>
    <row r="24" spans="1:7" x14ac:dyDescent="0.25">
      <c r="A24">
        <v>24</v>
      </c>
      <c r="B24">
        <v>2</v>
      </c>
      <c r="C24">
        <v>6</v>
      </c>
      <c r="D24">
        <v>3</v>
      </c>
      <c r="E24">
        <v>18</v>
      </c>
    </row>
    <row r="25" spans="1:7" x14ac:dyDescent="0.25">
      <c r="A25">
        <v>41</v>
      </c>
      <c r="B25">
        <v>2</v>
      </c>
      <c r="C25">
        <v>8</v>
      </c>
      <c r="D25">
        <v>4</v>
      </c>
      <c r="E25">
        <v>32</v>
      </c>
    </row>
    <row r="26" spans="1:7" x14ac:dyDescent="0.25">
      <c r="A26">
        <v>32</v>
      </c>
      <c r="B26">
        <v>2</v>
      </c>
      <c r="C26">
        <v>8</v>
      </c>
      <c r="D26">
        <v>4</v>
      </c>
      <c r="E26">
        <v>32</v>
      </c>
    </row>
    <row r="27" spans="1:7" x14ac:dyDescent="0.25">
      <c r="A27">
        <v>38</v>
      </c>
      <c r="B27">
        <v>2</v>
      </c>
      <c r="C27">
        <v>4</v>
      </c>
      <c r="D27">
        <v>2</v>
      </c>
      <c r="E27">
        <v>8</v>
      </c>
    </row>
    <row r="28" spans="1:7" ht="15.75" thickBot="1" x14ac:dyDescent="0.3">
      <c r="A28" s="1">
        <v>46</v>
      </c>
      <c r="B28" s="1">
        <v>2</v>
      </c>
      <c r="C28" s="1">
        <v>3</v>
      </c>
      <c r="D28" s="1">
        <v>1.5</v>
      </c>
      <c r="E28" s="1">
        <v>4.5</v>
      </c>
    </row>
    <row r="31" spans="1:7" ht="15.75" thickBot="1" x14ac:dyDescent="0.3">
      <c r="A31" t="s">
        <v>47</v>
      </c>
    </row>
    <row r="32" spans="1:7" x14ac:dyDescent="0.25">
      <c r="A32" s="2" t="s">
        <v>48</v>
      </c>
      <c r="B32" s="2" t="s">
        <v>49</v>
      </c>
      <c r="C32" s="2" t="s">
        <v>50</v>
      </c>
      <c r="D32" s="2" t="s">
        <v>51</v>
      </c>
      <c r="E32" s="2" t="s">
        <v>52</v>
      </c>
      <c r="F32" s="2" t="s">
        <v>53</v>
      </c>
      <c r="G32" s="2" t="s">
        <v>54</v>
      </c>
    </row>
    <row r="33" spans="1:7" x14ac:dyDescent="0.25">
      <c r="A33" t="s">
        <v>55</v>
      </c>
      <c r="B33">
        <v>47941851498.174042</v>
      </c>
      <c r="C33">
        <v>23</v>
      </c>
      <c r="D33">
        <v>2084428326.0075669</v>
      </c>
      <c r="E33">
        <v>0.62064221747201065</v>
      </c>
      <c r="F33">
        <v>0.87150939833747898</v>
      </c>
      <c r="G33">
        <v>1.9932391349590068</v>
      </c>
    </row>
    <row r="34" spans="1:7" x14ac:dyDescent="0.25">
      <c r="A34" t="s">
        <v>56</v>
      </c>
      <c r="B34">
        <v>80604055631.194092</v>
      </c>
      <c r="C34">
        <v>24</v>
      </c>
      <c r="D34">
        <v>3358502317.9664207</v>
      </c>
    </row>
    <row r="36" spans="1:7" ht="15.75" thickBot="1" x14ac:dyDescent="0.3">
      <c r="A36" s="1" t="s">
        <v>57</v>
      </c>
      <c r="B36" s="1">
        <v>128545907129.36813</v>
      </c>
      <c r="C36" s="1">
        <v>47</v>
      </c>
      <c r="D36" s="1"/>
      <c r="E36" s="1"/>
      <c r="F36" s="1"/>
      <c r="G3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D670-B255-4782-9836-B61381054C2B}">
  <sheetPr codeName="Sheet4"/>
  <dimension ref="A1:M84"/>
  <sheetViews>
    <sheetView topLeftCell="A43" workbookViewId="0">
      <selection sqref="A1:G84"/>
    </sheetView>
  </sheetViews>
  <sheetFormatPr defaultRowHeight="15" x14ac:dyDescent="0.25"/>
  <cols>
    <col min="1" max="1" width="33.28515625" bestFit="1" customWidth="1"/>
  </cols>
  <sheetData>
    <row r="1" spans="1:5" x14ac:dyDescent="0.25">
      <c r="A1" t="s">
        <v>58</v>
      </c>
    </row>
    <row r="3" spans="1:5" x14ac:dyDescent="0.25">
      <c r="A3" t="s">
        <v>43</v>
      </c>
      <c r="B3">
        <v>42</v>
      </c>
      <c r="C3">
        <v>2</v>
      </c>
      <c r="D3">
        <v>0</v>
      </c>
      <c r="E3" t="s">
        <v>57</v>
      </c>
    </row>
    <row r="4" spans="1:5" ht="15.75" thickBot="1" x14ac:dyDescent="0.3">
      <c r="A4" s="3" t="s">
        <v>11</v>
      </c>
      <c r="B4" s="3"/>
      <c r="C4" s="3"/>
      <c r="D4" s="3"/>
      <c r="E4" s="3"/>
    </row>
    <row r="5" spans="1:5" x14ac:dyDescent="0.25">
      <c r="A5" t="s">
        <v>34</v>
      </c>
      <c r="B5">
        <v>2</v>
      </c>
      <c r="C5">
        <v>2</v>
      </c>
      <c r="D5">
        <v>2</v>
      </c>
      <c r="E5">
        <v>6</v>
      </c>
    </row>
    <row r="6" spans="1:5" x14ac:dyDescent="0.25">
      <c r="A6" t="s">
        <v>33</v>
      </c>
      <c r="B6">
        <v>83</v>
      </c>
      <c r="C6">
        <v>9</v>
      </c>
      <c r="D6">
        <v>243468.65999999997</v>
      </c>
      <c r="E6">
        <v>243560.65999999997</v>
      </c>
    </row>
    <row r="7" spans="1:5" x14ac:dyDescent="0.25">
      <c r="A7" t="s">
        <v>45</v>
      </c>
      <c r="B7">
        <v>41.5</v>
      </c>
      <c r="C7">
        <v>4.5</v>
      </c>
      <c r="D7">
        <v>121734.32999999999</v>
      </c>
      <c r="E7">
        <v>40593.443333333329</v>
      </c>
    </row>
    <row r="8" spans="1:5" x14ac:dyDescent="0.25">
      <c r="A8" t="s">
        <v>46</v>
      </c>
      <c r="B8">
        <v>0.5</v>
      </c>
      <c r="C8">
        <v>24.5</v>
      </c>
      <c r="D8">
        <v>2876834253.3218002</v>
      </c>
      <c r="E8">
        <v>4525673222.8960667</v>
      </c>
    </row>
    <row r="10" spans="1:5" ht="15.75" thickBot="1" x14ac:dyDescent="0.3">
      <c r="A10" s="3" t="s">
        <v>11</v>
      </c>
      <c r="B10" s="3"/>
      <c r="C10" s="3"/>
      <c r="D10" s="3"/>
      <c r="E10" s="3"/>
    </row>
    <row r="11" spans="1:5" x14ac:dyDescent="0.25">
      <c r="A11" t="s">
        <v>34</v>
      </c>
      <c r="B11">
        <v>2</v>
      </c>
      <c r="C11">
        <v>2</v>
      </c>
      <c r="D11">
        <v>2</v>
      </c>
      <c r="E11">
        <v>6</v>
      </c>
    </row>
    <row r="12" spans="1:5" x14ac:dyDescent="0.25">
      <c r="A12" t="s">
        <v>33</v>
      </c>
      <c r="B12">
        <v>82</v>
      </c>
      <c r="C12">
        <v>3</v>
      </c>
      <c r="D12">
        <v>125510.82</v>
      </c>
      <c r="E12">
        <v>125595.82</v>
      </c>
    </row>
    <row r="13" spans="1:5" x14ac:dyDescent="0.25">
      <c r="A13" t="s">
        <v>45</v>
      </c>
      <c r="B13">
        <v>41</v>
      </c>
      <c r="C13">
        <v>1.5</v>
      </c>
      <c r="D13">
        <v>62755.41</v>
      </c>
      <c r="E13">
        <v>20932.636666666669</v>
      </c>
    </row>
    <row r="14" spans="1:5" x14ac:dyDescent="0.25">
      <c r="A14" t="s">
        <v>46</v>
      </c>
      <c r="B14">
        <v>8</v>
      </c>
      <c r="C14">
        <v>0.5</v>
      </c>
      <c r="D14">
        <v>7876482968.5362005</v>
      </c>
      <c r="E14">
        <v>2624783529.0320668</v>
      </c>
    </row>
    <row r="16" spans="1:5" ht="15.75" thickBot="1" x14ac:dyDescent="0.3">
      <c r="A16" s="3" t="s">
        <v>13</v>
      </c>
      <c r="B16" s="3"/>
      <c r="C16" s="3"/>
      <c r="D16" s="3"/>
      <c r="E16" s="3"/>
    </row>
    <row r="17" spans="1:5" x14ac:dyDescent="0.25">
      <c r="A17" t="s">
        <v>34</v>
      </c>
      <c r="B17">
        <v>2</v>
      </c>
      <c r="C17">
        <v>2</v>
      </c>
      <c r="D17">
        <v>2</v>
      </c>
      <c r="E17">
        <v>6</v>
      </c>
    </row>
    <row r="18" spans="1:5" x14ac:dyDescent="0.25">
      <c r="A18" t="s">
        <v>33</v>
      </c>
      <c r="B18">
        <v>94</v>
      </c>
      <c r="C18">
        <v>15</v>
      </c>
      <c r="D18">
        <v>113755.78</v>
      </c>
      <c r="E18">
        <v>113864.78</v>
      </c>
    </row>
    <row r="19" spans="1:5" x14ac:dyDescent="0.25">
      <c r="A19" t="s">
        <v>45</v>
      </c>
      <c r="B19">
        <v>47</v>
      </c>
      <c r="C19">
        <v>7.5</v>
      </c>
      <c r="D19">
        <v>56877.89</v>
      </c>
      <c r="E19">
        <v>18977.463333333333</v>
      </c>
    </row>
    <row r="20" spans="1:5" x14ac:dyDescent="0.25">
      <c r="A20" t="s">
        <v>46</v>
      </c>
      <c r="B20">
        <v>18</v>
      </c>
      <c r="C20">
        <v>0.5</v>
      </c>
      <c r="D20">
        <v>6470188741.7041998</v>
      </c>
      <c r="E20">
        <v>2155903469.0000663</v>
      </c>
    </row>
    <row r="22" spans="1:5" ht="15.75" thickBot="1" x14ac:dyDescent="0.3">
      <c r="A22" s="3" t="s">
        <v>11</v>
      </c>
      <c r="B22" s="3"/>
      <c r="C22" s="3"/>
      <c r="D22" s="3"/>
      <c r="E22" s="3"/>
    </row>
    <row r="23" spans="1:5" x14ac:dyDescent="0.25">
      <c r="A23" t="s">
        <v>34</v>
      </c>
      <c r="B23">
        <v>2</v>
      </c>
      <c r="C23">
        <v>2</v>
      </c>
      <c r="D23">
        <v>2</v>
      </c>
      <c r="E23">
        <v>6</v>
      </c>
    </row>
    <row r="24" spans="1:5" x14ac:dyDescent="0.25">
      <c r="A24" t="s">
        <v>33</v>
      </c>
      <c r="B24">
        <v>73</v>
      </c>
      <c r="C24">
        <v>8</v>
      </c>
      <c r="D24">
        <v>257097.81</v>
      </c>
      <c r="E24">
        <v>257178.81</v>
      </c>
    </row>
    <row r="25" spans="1:5" x14ac:dyDescent="0.25">
      <c r="A25" t="s">
        <v>45</v>
      </c>
      <c r="B25">
        <v>36.5</v>
      </c>
      <c r="C25">
        <v>4</v>
      </c>
      <c r="D25">
        <v>128548.905</v>
      </c>
      <c r="E25">
        <v>42863.135000000002</v>
      </c>
    </row>
    <row r="26" spans="1:5" x14ac:dyDescent="0.25">
      <c r="A26" t="s">
        <v>46</v>
      </c>
      <c r="B26">
        <v>112.5</v>
      </c>
      <c r="C26">
        <v>0</v>
      </c>
      <c r="D26">
        <v>364616919.3744545</v>
      </c>
      <c r="E26">
        <v>4478154325.9206305</v>
      </c>
    </row>
    <row r="28" spans="1:5" ht="15.75" thickBot="1" x14ac:dyDescent="0.3">
      <c r="A28" s="3" t="s">
        <v>13</v>
      </c>
      <c r="B28" s="3"/>
      <c r="C28" s="3"/>
      <c r="D28" s="3"/>
      <c r="E28" s="3"/>
    </row>
    <row r="29" spans="1:5" x14ac:dyDescent="0.25">
      <c r="A29" t="s">
        <v>34</v>
      </c>
      <c r="B29">
        <v>2</v>
      </c>
      <c r="C29">
        <v>2</v>
      </c>
      <c r="D29">
        <v>2</v>
      </c>
      <c r="E29">
        <v>6</v>
      </c>
    </row>
    <row r="30" spans="1:5" x14ac:dyDescent="0.25">
      <c r="A30" t="s">
        <v>33</v>
      </c>
      <c r="B30">
        <v>58</v>
      </c>
      <c r="C30">
        <v>8</v>
      </c>
      <c r="D30">
        <v>236620.6</v>
      </c>
      <c r="E30">
        <v>236686.6</v>
      </c>
    </row>
    <row r="31" spans="1:5" x14ac:dyDescent="0.25">
      <c r="A31" t="s">
        <v>45</v>
      </c>
      <c r="B31">
        <v>29</v>
      </c>
      <c r="C31">
        <v>4</v>
      </c>
      <c r="D31">
        <v>118310.3</v>
      </c>
      <c r="E31">
        <v>39447.76666666667</v>
      </c>
    </row>
    <row r="32" spans="1:5" x14ac:dyDescent="0.25">
      <c r="A32" t="s">
        <v>46</v>
      </c>
      <c r="B32">
        <v>8</v>
      </c>
      <c r="C32">
        <v>8</v>
      </c>
      <c r="D32">
        <v>530961498.43280029</v>
      </c>
      <c r="E32">
        <v>3837771926.1372271</v>
      </c>
    </row>
    <row r="34" spans="1:5" ht="15.75" thickBot="1" x14ac:dyDescent="0.3">
      <c r="A34" s="3" t="s">
        <v>13</v>
      </c>
      <c r="B34" s="3"/>
      <c r="C34" s="3"/>
      <c r="D34" s="3"/>
      <c r="E34" s="3"/>
    </row>
    <row r="35" spans="1:5" x14ac:dyDescent="0.25">
      <c r="A35" t="s">
        <v>34</v>
      </c>
      <c r="B35">
        <v>2</v>
      </c>
      <c r="C35">
        <v>2</v>
      </c>
      <c r="D35">
        <v>2</v>
      </c>
      <c r="E35">
        <v>6</v>
      </c>
    </row>
    <row r="36" spans="1:5" x14ac:dyDescent="0.25">
      <c r="A36" t="s">
        <v>33</v>
      </c>
      <c r="B36">
        <v>58</v>
      </c>
      <c r="C36">
        <v>13</v>
      </c>
      <c r="D36">
        <v>0</v>
      </c>
      <c r="E36">
        <v>71</v>
      </c>
    </row>
    <row r="37" spans="1:5" x14ac:dyDescent="0.25">
      <c r="A37" t="s">
        <v>45</v>
      </c>
      <c r="B37">
        <v>29</v>
      </c>
      <c r="C37">
        <v>6.5</v>
      </c>
      <c r="D37">
        <v>0</v>
      </c>
      <c r="E37">
        <v>11.833333333333334</v>
      </c>
    </row>
    <row r="38" spans="1:5" x14ac:dyDescent="0.25">
      <c r="A38" t="s">
        <v>46</v>
      </c>
      <c r="B38">
        <v>50</v>
      </c>
      <c r="C38">
        <v>24.5</v>
      </c>
      <c r="D38">
        <v>0</v>
      </c>
      <c r="E38">
        <v>200.16666666666669</v>
      </c>
    </row>
    <row r="40" spans="1:5" ht="15.75" thickBot="1" x14ac:dyDescent="0.3">
      <c r="A40" s="3" t="s">
        <v>11</v>
      </c>
      <c r="B40" s="3"/>
      <c r="C40" s="3"/>
      <c r="D40" s="3"/>
      <c r="E40" s="3"/>
    </row>
    <row r="41" spans="1:5" x14ac:dyDescent="0.25">
      <c r="A41" t="s">
        <v>34</v>
      </c>
      <c r="B41">
        <v>2</v>
      </c>
      <c r="C41">
        <v>2</v>
      </c>
      <c r="D41">
        <v>2</v>
      </c>
      <c r="E41">
        <v>6</v>
      </c>
    </row>
    <row r="42" spans="1:5" x14ac:dyDescent="0.25">
      <c r="A42" t="s">
        <v>33</v>
      </c>
      <c r="B42">
        <v>60</v>
      </c>
      <c r="C42">
        <v>12</v>
      </c>
      <c r="D42">
        <v>0</v>
      </c>
      <c r="E42">
        <v>72</v>
      </c>
    </row>
    <row r="43" spans="1:5" x14ac:dyDescent="0.25">
      <c r="A43" t="s">
        <v>45</v>
      </c>
      <c r="B43">
        <v>30</v>
      </c>
      <c r="C43">
        <v>6</v>
      </c>
      <c r="D43">
        <v>0</v>
      </c>
      <c r="E43">
        <v>12</v>
      </c>
    </row>
    <row r="44" spans="1:5" x14ac:dyDescent="0.25">
      <c r="A44" t="s">
        <v>46</v>
      </c>
      <c r="B44">
        <v>50</v>
      </c>
      <c r="C44">
        <v>2</v>
      </c>
      <c r="D44">
        <v>0</v>
      </c>
      <c r="E44">
        <v>212</v>
      </c>
    </row>
    <row r="46" spans="1:5" ht="15.75" thickBot="1" x14ac:dyDescent="0.3">
      <c r="A46" s="3" t="s">
        <v>13</v>
      </c>
      <c r="B46" s="3"/>
      <c r="C46" s="3"/>
      <c r="D46" s="3"/>
      <c r="E46" s="3"/>
    </row>
    <row r="47" spans="1:5" x14ac:dyDescent="0.25">
      <c r="A47" t="s">
        <v>34</v>
      </c>
      <c r="B47">
        <v>2</v>
      </c>
      <c r="C47">
        <v>2</v>
      </c>
      <c r="D47">
        <v>2</v>
      </c>
      <c r="E47">
        <v>6</v>
      </c>
    </row>
    <row r="48" spans="1:5" x14ac:dyDescent="0.25">
      <c r="A48" t="s">
        <v>33</v>
      </c>
      <c r="B48">
        <v>103</v>
      </c>
      <c r="C48">
        <v>4</v>
      </c>
      <c r="D48">
        <v>275732.29000000004</v>
      </c>
      <c r="E48">
        <v>275839.29000000004</v>
      </c>
    </row>
    <row r="49" spans="1:5" x14ac:dyDescent="0.25">
      <c r="A49" t="s">
        <v>45</v>
      </c>
      <c r="B49">
        <v>51.5</v>
      </c>
      <c r="C49">
        <v>2</v>
      </c>
      <c r="D49">
        <v>137866.14500000002</v>
      </c>
      <c r="E49">
        <v>45973.215000000004</v>
      </c>
    </row>
    <row r="50" spans="1:5" x14ac:dyDescent="0.25">
      <c r="A50" t="s">
        <v>46</v>
      </c>
      <c r="B50">
        <v>84.5</v>
      </c>
      <c r="C50">
        <v>2</v>
      </c>
      <c r="D50">
        <v>55403916.920449987</v>
      </c>
      <c r="E50">
        <v>5077667641.1250305</v>
      </c>
    </row>
    <row r="52" spans="1:5" ht="15.75" thickBot="1" x14ac:dyDescent="0.3">
      <c r="A52" s="3" t="s">
        <v>11</v>
      </c>
      <c r="B52" s="3"/>
      <c r="C52" s="3"/>
      <c r="D52" s="3"/>
      <c r="E52" s="3"/>
    </row>
    <row r="53" spans="1:5" x14ac:dyDescent="0.25">
      <c r="A53" t="s">
        <v>34</v>
      </c>
      <c r="B53">
        <v>2</v>
      </c>
      <c r="C53">
        <v>2</v>
      </c>
      <c r="D53">
        <v>2</v>
      </c>
      <c r="E53">
        <v>6</v>
      </c>
    </row>
    <row r="54" spans="1:5" x14ac:dyDescent="0.25">
      <c r="A54" t="s">
        <v>33</v>
      </c>
      <c r="B54">
        <v>69</v>
      </c>
      <c r="C54">
        <v>15</v>
      </c>
      <c r="D54">
        <v>0</v>
      </c>
      <c r="E54">
        <v>84</v>
      </c>
    </row>
    <row r="55" spans="1:5" x14ac:dyDescent="0.25">
      <c r="A55" t="s">
        <v>45</v>
      </c>
      <c r="B55">
        <v>34.5</v>
      </c>
      <c r="C55">
        <v>7.5</v>
      </c>
      <c r="D55">
        <v>0</v>
      </c>
      <c r="E55">
        <v>14</v>
      </c>
    </row>
    <row r="56" spans="1:5" x14ac:dyDescent="0.25">
      <c r="A56" t="s">
        <v>46</v>
      </c>
      <c r="B56">
        <v>220.5</v>
      </c>
      <c r="C56">
        <v>4.5</v>
      </c>
      <c r="D56">
        <v>0</v>
      </c>
      <c r="E56">
        <v>308.39999999999998</v>
      </c>
    </row>
    <row r="58" spans="1:5" ht="15.75" thickBot="1" x14ac:dyDescent="0.3">
      <c r="A58" s="3" t="s">
        <v>11</v>
      </c>
      <c r="B58" s="3"/>
      <c r="C58" s="3"/>
      <c r="D58" s="3"/>
      <c r="E58" s="3"/>
    </row>
    <row r="59" spans="1:5" x14ac:dyDescent="0.25">
      <c r="A59" t="s">
        <v>34</v>
      </c>
      <c r="B59">
        <v>2</v>
      </c>
      <c r="C59">
        <v>2</v>
      </c>
      <c r="D59">
        <v>2</v>
      </c>
      <c r="E59">
        <v>6</v>
      </c>
    </row>
    <row r="60" spans="1:5" x14ac:dyDescent="0.25">
      <c r="A60" t="s">
        <v>33</v>
      </c>
      <c r="B60">
        <v>65</v>
      </c>
      <c r="C60">
        <v>14</v>
      </c>
      <c r="D60">
        <v>0</v>
      </c>
      <c r="E60">
        <v>79</v>
      </c>
    </row>
    <row r="61" spans="1:5" x14ac:dyDescent="0.25">
      <c r="A61" t="s">
        <v>45</v>
      </c>
      <c r="B61">
        <v>32.5</v>
      </c>
      <c r="C61">
        <v>7</v>
      </c>
      <c r="D61">
        <v>0</v>
      </c>
      <c r="E61">
        <v>13.166666666666666</v>
      </c>
    </row>
    <row r="62" spans="1:5" x14ac:dyDescent="0.25">
      <c r="A62" t="s">
        <v>46</v>
      </c>
      <c r="B62">
        <v>144.5</v>
      </c>
      <c r="C62">
        <v>2</v>
      </c>
      <c r="D62">
        <v>0</v>
      </c>
      <c r="E62">
        <v>263.36666666666667</v>
      </c>
    </row>
    <row r="64" spans="1:5" ht="15.75" thickBot="1" x14ac:dyDescent="0.3">
      <c r="A64" s="3" t="s">
        <v>11</v>
      </c>
      <c r="B64" s="3"/>
      <c r="C64" s="3"/>
      <c r="D64" s="3"/>
      <c r="E64" s="3"/>
    </row>
    <row r="65" spans="1:13" x14ac:dyDescent="0.25">
      <c r="A65" t="s">
        <v>34</v>
      </c>
      <c r="B65">
        <v>2</v>
      </c>
      <c r="C65">
        <v>2</v>
      </c>
      <c r="D65">
        <v>2</v>
      </c>
      <c r="E65">
        <v>6</v>
      </c>
    </row>
    <row r="66" spans="1:13" x14ac:dyDescent="0.25">
      <c r="A66" t="s">
        <v>33</v>
      </c>
      <c r="B66">
        <v>70</v>
      </c>
      <c r="C66">
        <v>12</v>
      </c>
      <c r="D66">
        <v>0</v>
      </c>
      <c r="E66">
        <v>82</v>
      </c>
    </row>
    <row r="67" spans="1:13" x14ac:dyDescent="0.25">
      <c r="A67" t="s">
        <v>45</v>
      </c>
      <c r="B67">
        <v>35</v>
      </c>
      <c r="C67">
        <v>6</v>
      </c>
      <c r="D67">
        <v>0</v>
      </c>
      <c r="E67">
        <v>13.666666666666666</v>
      </c>
    </row>
    <row r="68" spans="1:13" x14ac:dyDescent="0.25">
      <c r="A68" t="s">
        <v>46</v>
      </c>
      <c r="B68">
        <v>18</v>
      </c>
      <c r="C68">
        <v>8</v>
      </c>
      <c r="D68">
        <v>0</v>
      </c>
      <c r="E68">
        <v>285.46666666666664</v>
      </c>
    </row>
    <row r="70" spans="1:13" ht="15.75" thickBot="1" x14ac:dyDescent="0.3">
      <c r="A70" s="3" t="s">
        <v>57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x14ac:dyDescent="0.25">
      <c r="A71" t="s">
        <v>34</v>
      </c>
      <c r="B71">
        <v>22</v>
      </c>
      <c r="C71">
        <v>22</v>
      </c>
      <c r="D71">
        <v>22</v>
      </c>
    </row>
    <row r="72" spans="1:13" x14ac:dyDescent="0.25">
      <c r="A72" t="s">
        <v>33</v>
      </c>
      <c r="B72">
        <v>815</v>
      </c>
      <c r="C72">
        <v>113</v>
      </c>
      <c r="D72">
        <v>1252185.96</v>
      </c>
    </row>
    <row r="73" spans="1:13" x14ac:dyDescent="0.25">
      <c r="A73" t="s">
        <v>45</v>
      </c>
      <c r="B73">
        <v>37.045454545454547</v>
      </c>
      <c r="C73">
        <v>5.1363636363636367</v>
      </c>
      <c r="D73">
        <v>56917.543636363633</v>
      </c>
    </row>
    <row r="74" spans="1:13" x14ac:dyDescent="0.25">
      <c r="A74" t="s">
        <v>46</v>
      </c>
      <c r="B74">
        <v>86.807359307359249</v>
      </c>
      <c r="C74">
        <v>7.8376623376623389</v>
      </c>
      <c r="D74">
        <v>4283178532.8755383</v>
      </c>
    </row>
    <row r="77" spans="1:13" ht="15.75" thickBot="1" x14ac:dyDescent="0.3">
      <c r="A77" t="s">
        <v>47</v>
      </c>
    </row>
    <row r="78" spans="1:13" x14ac:dyDescent="0.25">
      <c r="A78" s="2" t="s">
        <v>48</v>
      </c>
      <c r="B78" s="2" t="s">
        <v>49</v>
      </c>
      <c r="C78" s="2" t="s">
        <v>50</v>
      </c>
      <c r="D78" s="2" t="s">
        <v>51</v>
      </c>
      <c r="E78" s="2" t="s">
        <v>52</v>
      </c>
      <c r="F78" s="2" t="s">
        <v>53</v>
      </c>
      <c r="G78" s="2" t="s">
        <v>54</v>
      </c>
    </row>
    <row r="79" spans="1:13" x14ac:dyDescent="0.25">
      <c r="A79" t="s">
        <v>59</v>
      </c>
      <c r="B79">
        <v>23926011677.020004</v>
      </c>
      <c r="C79">
        <v>10</v>
      </c>
      <c r="D79">
        <v>2392601167.7020006</v>
      </c>
      <c r="E79">
        <v>4.3443223160916338</v>
      </c>
      <c r="F79">
        <v>6.434369588320996E-4</v>
      </c>
      <c r="G79">
        <v>2.132503754216748</v>
      </c>
    </row>
    <row r="80" spans="1:13" x14ac:dyDescent="0.25">
      <c r="A80" t="s">
        <v>60</v>
      </c>
      <c r="B80">
        <v>47479037416.643707</v>
      </c>
      <c r="C80">
        <v>2</v>
      </c>
      <c r="D80">
        <v>23739518708.321854</v>
      </c>
      <c r="E80">
        <v>43.104601924478629</v>
      </c>
      <c r="F80">
        <v>6.2570339891955433E-10</v>
      </c>
      <c r="G80">
        <v>3.2849176510382869</v>
      </c>
    </row>
    <row r="81" spans="1:7" x14ac:dyDescent="0.25">
      <c r="A81" t="s">
        <v>61</v>
      </c>
      <c r="B81">
        <v>47846250411.621811</v>
      </c>
      <c r="C81">
        <v>20</v>
      </c>
      <c r="D81">
        <v>2392312520.5810905</v>
      </c>
      <c r="E81">
        <v>4.3437982103000907</v>
      </c>
      <c r="F81">
        <v>9.8236279512030166E-5</v>
      </c>
      <c r="G81">
        <v>1.8976685090231205</v>
      </c>
    </row>
    <row r="82" spans="1:7" x14ac:dyDescent="0.25">
      <c r="A82" t="s">
        <v>62</v>
      </c>
      <c r="B82">
        <v>18174489089.289898</v>
      </c>
      <c r="C82">
        <v>33</v>
      </c>
      <c r="D82">
        <v>550742093.6148454</v>
      </c>
    </row>
    <row r="84" spans="1:7" ht="15.75" thickBot="1" x14ac:dyDescent="0.3">
      <c r="A84" s="1" t="s">
        <v>57</v>
      </c>
      <c r="B84" s="1">
        <v>137425788594.57542</v>
      </c>
      <c r="C84" s="1">
        <v>65</v>
      </c>
      <c r="D84" s="1"/>
      <c r="E84" s="1"/>
      <c r="F84" s="1"/>
      <c r="G8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7ED5C-0FD4-4056-8C97-DE7C0CEFC620}">
  <sheetPr codeName="Sheet5"/>
  <dimension ref="A1:G37"/>
  <sheetViews>
    <sheetView workbookViewId="0">
      <selection activeCell="I35" sqref="I35"/>
    </sheetView>
  </sheetViews>
  <sheetFormatPr defaultRowHeight="15" x14ac:dyDescent="0.25"/>
  <sheetData>
    <row r="1" spans="1:5" x14ac:dyDescent="0.25">
      <c r="A1" t="s">
        <v>63</v>
      </c>
    </row>
    <row r="2" spans="1:5" ht="15.75" thickBot="1" x14ac:dyDescent="0.3"/>
    <row r="3" spans="1:5" x14ac:dyDescent="0.25">
      <c r="A3" s="2" t="s">
        <v>43</v>
      </c>
      <c r="B3" s="2" t="s">
        <v>34</v>
      </c>
      <c r="C3" s="2" t="s">
        <v>33</v>
      </c>
      <c r="D3" s="2" t="s">
        <v>45</v>
      </c>
      <c r="E3" s="2" t="s">
        <v>46</v>
      </c>
    </row>
    <row r="4" spans="1:5" x14ac:dyDescent="0.25">
      <c r="A4" t="s">
        <v>11</v>
      </c>
      <c r="B4">
        <v>3</v>
      </c>
      <c r="C4">
        <v>83849.86</v>
      </c>
      <c r="D4">
        <v>27949.953333333335</v>
      </c>
      <c r="E4">
        <v>2340079702.8865337</v>
      </c>
    </row>
    <row r="5" spans="1:5" x14ac:dyDescent="0.25">
      <c r="A5" t="s">
        <v>11</v>
      </c>
      <c r="B5">
        <v>3</v>
      </c>
      <c r="C5">
        <v>159710.79999999999</v>
      </c>
      <c r="D5">
        <v>53236.933333333327</v>
      </c>
      <c r="E5">
        <v>8494529836.2133312</v>
      </c>
    </row>
    <row r="6" spans="1:5" x14ac:dyDescent="0.25">
      <c r="A6" t="s">
        <v>11</v>
      </c>
      <c r="B6">
        <v>3</v>
      </c>
      <c r="C6">
        <v>40</v>
      </c>
      <c r="D6">
        <v>13.333333333333334</v>
      </c>
      <c r="E6">
        <v>494.33333333333331</v>
      </c>
    </row>
    <row r="7" spans="1:5" x14ac:dyDescent="0.25">
      <c r="A7" t="s">
        <v>11</v>
      </c>
      <c r="B7">
        <v>3</v>
      </c>
      <c r="C7">
        <v>125555.82</v>
      </c>
      <c r="D7">
        <v>41851.94</v>
      </c>
      <c r="E7">
        <v>5249106572.3908005</v>
      </c>
    </row>
    <row r="8" spans="1:5" x14ac:dyDescent="0.25">
      <c r="A8" t="s">
        <v>13</v>
      </c>
      <c r="B8">
        <v>3</v>
      </c>
      <c r="C8">
        <v>113807.78</v>
      </c>
      <c r="D8">
        <v>37935.926666666666</v>
      </c>
      <c r="E8">
        <v>4311487943.6161327</v>
      </c>
    </row>
    <row r="9" spans="1:5" x14ac:dyDescent="0.25">
      <c r="A9" t="s">
        <v>13</v>
      </c>
      <c r="B9">
        <v>3</v>
      </c>
      <c r="C9">
        <v>57</v>
      </c>
      <c r="D9">
        <v>19</v>
      </c>
      <c r="E9">
        <v>733</v>
      </c>
    </row>
    <row r="10" spans="1:5" x14ac:dyDescent="0.25">
      <c r="A10" t="s">
        <v>11</v>
      </c>
      <c r="B10">
        <v>3</v>
      </c>
      <c r="C10">
        <v>115079.74</v>
      </c>
      <c r="D10">
        <v>38359.913333333338</v>
      </c>
      <c r="E10">
        <v>4410652194.4025345</v>
      </c>
    </row>
    <row r="11" spans="1:5" x14ac:dyDescent="0.25">
      <c r="A11" t="s">
        <v>13</v>
      </c>
      <c r="B11">
        <v>3</v>
      </c>
      <c r="C11">
        <v>142099.07</v>
      </c>
      <c r="D11">
        <v>47366.356666666667</v>
      </c>
      <c r="E11">
        <v>6723896604.2616329</v>
      </c>
    </row>
    <row r="12" spans="1:5" x14ac:dyDescent="0.25">
      <c r="A12" t="s">
        <v>13</v>
      </c>
      <c r="B12">
        <v>3</v>
      </c>
      <c r="C12">
        <v>134632.88</v>
      </c>
      <c r="D12">
        <v>44877.626666666671</v>
      </c>
      <c r="E12">
        <v>6038100559.178133</v>
      </c>
    </row>
    <row r="13" spans="1:5" x14ac:dyDescent="0.25">
      <c r="A13" t="s">
        <v>13</v>
      </c>
      <c r="B13">
        <v>3</v>
      </c>
      <c r="C13">
        <v>102053.72</v>
      </c>
      <c r="D13">
        <v>34017.906666666669</v>
      </c>
      <c r="E13">
        <v>3467879117.3061342</v>
      </c>
    </row>
    <row r="14" spans="1:5" x14ac:dyDescent="0.25">
      <c r="A14" t="s">
        <v>13</v>
      </c>
      <c r="B14">
        <v>3</v>
      </c>
      <c r="C14">
        <v>27</v>
      </c>
      <c r="D14">
        <v>9</v>
      </c>
      <c r="E14">
        <v>171</v>
      </c>
    </row>
    <row r="15" spans="1:5" x14ac:dyDescent="0.25">
      <c r="A15" t="s">
        <v>11</v>
      </c>
      <c r="B15">
        <v>3</v>
      </c>
      <c r="C15">
        <v>44</v>
      </c>
      <c r="D15">
        <v>14.666666666666666</v>
      </c>
      <c r="E15">
        <v>305.33333333333331</v>
      </c>
    </row>
    <row r="16" spans="1:5" x14ac:dyDescent="0.25">
      <c r="A16" t="s">
        <v>11</v>
      </c>
      <c r="B16">
        <v>3</v>
      </c>
      <c r="C16">
        <v>30</v>
      </c>
      <c r="D16">
        <v>10</v>
      </c>
      <c r="E16">
        <v>175</v>
      </c>
    </row>
    <row r="17" spans="1:7" x14ac:dyDescent="0.25">
      <c r="A17" t="s">
        <v>11</v>
      </c>
      <c r="B17">
        <v>3</v>
      </c>
      <c r="C17">
        <v>42</v>
      </c>
      <c r="D17">
        <v>14</v>
      </c>
      <c r="E17">
        <v>343</v>
      </c>
    </row>
    <row r="18" spans="1:7" x14ac:dyDescent="0.25">
      <c r="A18" t="s">
        <v>13</v>
      </c>
      <c r="B18">
        <v>3</v>
      </c>
      <c r="C18">
        <v>143177.41</v>
      </c>
      <c r="D18">
        <v>47725.803333333337</v>
      </c>
      <c r="E18">
        <v>6826386564.7560329</v>
      </c>
    </row>
    <row r="19" spans="1:7" x14ac:dyDescent="0.25">
      <c r="A19" t="s">
        <v>13</v>
      </c>
      <c r="B19">
        <v>3</v>
      </c>
      <c r="C19">
        <v>132661.88</v>
      </c>
      <c r="D19">
        <v>44220.626666666671</v>
      </c>
      <c r="E19">
        <v>5858567840.4581356</v>
      </c>
    </row>
    <row r="20" spans="1:7" x14ac:dyDescent="0.25">
      <c r="A20" t="s">
        <v>11</v>
      </c>
      <c r="B20">
        <v>3</v>
      </c>
      <c r="C20">
        <v>33</v>
      </c>
      <c r="D20">
        <v>11</v>
      </c>
      <c r="E20">
        <v>147</v>
      </c>
    </row>
    <row r="21" spans="1:7" x14ac:dyDescent="0.25">
      <c r="A21" t="s">
        <v>13</v>
      </c>
      <c r="B21">
        <v>3</v>
      </c>
      <c r="C21">
        <v>51</v>
      </c>
      <c r="D21">
        <v>17</v>
      </c>
      <c r="E21">
        <v>597</v>
      </c>
    </row>
    <row r="22" spans="1:7" x14ac:dyDescent="0.25">
      <c r="A22" t="s">
        <v>11</v>
      </c>
      <c r="B22">
        <v>3</v>
      </c>
      <c r="C22">
        <v>30</v>
      </c>
      <c r="D22">
        <v>10</v>
      </c>
      <c r="E22">
        <v>156</v>
      </c>
    </row>
    <row r="23" spans="1:7" x14ac:dyDescent="0.25">
      <c r="A23" t="s">
        <v>13</v>
      </c>
      <c r="B23">
        <v>3</v>
      </c>
      <c r="C23">
        <v>49</v>
      </c>
      <c r="D23">
        <v>16.333333333333332</v>
      </c>
      <c r="E23">
        <v>472.33333333333331</v>
      </c>
    </row>
    <row r="24" spans="1:7" x14ac:dyDescent="0.25">
      <c r="A24" t="s">
        <v>11</v>
      </c>
      <c r="B24">
        <v>3</v>
      </c>
      <c r="C24">
        <v>40</v>
      </c>
      <c r="D24">
        <v>13.333333333333334</v>
      </c>
      <c r="E24">
        <v>277.33333333333331</v>
      </c>
    </row>
    <row r="26" spans="1:7" x14ac:dyDescent="0.25">
      <c r="A26">
        <v>42</v>
      </c>
      <c r="B26">
        <v>21</v>
      </c>
      <c r="C26">
        <v>777</v>
      </c>
      <c r="D26">
        <v>37</v>
      </c>
      <c r="E26">
        <v>91.1</v>
      </c>
    </row>
    <row r="27" spans="1:7" x14ac:dyDescent="0.25">
      <c r="A27">
        <v>2</v>
      </c>
      <c r="B27">
        <v>21</v>
      </c>
      <c r="C27">
        <v>109</v>
      </c>
      <c r="D27">
        <v>5.1904761904761907</v>
      </c>
      <c r="E27">
        <v>8.1619047619047596</v>
      </c>
    </row>
    <row r="28" spans="1:7" ht="15.75" thickBot="1" x14ac:dyDescent="0.3">
      <c r="A28" s="1">
        <v>0</v>
      </c>
      <c r="B28" s="1">
        <v>21</v>
      </c>
      <c r="C28" s="1">
        <v>1252185.96</v>
      </c>
      <c r="D28" s="1">
        <v>59627.902857142857</v>
      </c>
      <c r="E28" s="1">
        <v>4327643771.3785009</v>
      </c>
    </row>
    <row r="31" spans="1:7" ht="15.75" thickBot="1" x14ac:dyDescent="0.3">
      <c r="A31" t="s">
        <v>47</v>
      </c>
    </row>
    <row r="32" spans="1:7" x14ac:dyDescent="0.25">
      <c r="A32" s="2" t="s">
        <v>48</v>
      </c>
      <c r="B32" s="2" t="s">
        <v>49</v>
      </c>
      <c r="C32" s="2" t="s">
        <v>50</v>
      </c>
      <c r="D32" s="2" t="s">
        <v>51</v>
      </c>
      <c r="E32" s="2" t="s">
        <v>52</v>
      </c>
      <c r="F32" s="2" t="s">
        <v>53</v>
      </c>
      <c r="G32" s="2" t="s">
        <v>54</v>
      </c>
    </row>
    <row r="33" spans="1:7" x14ac:dyDescent="0.25">
      <c r="A33" t="s">
        <v>64</v>
      </c>
      <c r="B33">
        <v>28853107627.061737</v>
      </c>
      <c r="C33">
        <v>20</v>
      </c>
      <c r="D33">
        <v>1442655381.3530869</v>
      </c>
      <c r="E33">
        <v>1.0001117070033552</v>
      </c>
      <c r="F33">
        <v>0.48263549051320315</v>
      </c>
      <c r="G33">
        <v>1.8388593490242173</v>
      </c>
    </row>
    <row r="34" spans="1:7" x14ac:dyDescent="0.25">
      <c r="A34" t="s">
        <v>60</v>
      </c>
      <c r="B34">
        <v>49741611827.859039</v>
      </c>
      <c r="C34">
        <v>2</v>
      </c>
      <c r="D34">
        <v>24870805913.92952</v>
      </c>
      <c r="E34">
        <v>17.241528696756326</v>
      </c>
      <c r="F34">
        <v>3.9815293350754377E-6</v>
      </c>
      <c r="G34">
        <v>3.2317269928308443</v>
      </c>
    </row>
    <row r="35" spans="1:7" x14ac:dyDescent="0.25">
      <c r="A35" t="s">
        <v>65</v>
      </c>
      <c r="B35">
        <v>57699769785.746429</v>
      </c>
      <c r="C35">
        <v>40</v>
      </c>
      <c r="D35">
        <v>1442494244.6436608</v>
      </c>
    </row>
    <row r="37" spans="1:7" ht="15.75" thickBot="1" x14ac:dyDescent="0.3">
      <c r="A37" s="1" t="s">
        <v>57</v>
      </c>
      <c r="B37" s="1">
        <v>136294489240.66721</v>
      </c>
      <c r="C37" s="1">
        <v>62</v>
      </c>
      <c r="D37" s="1"/>
      <c r="E37" s="1"/>
      <c r="F37" s="1"/>
      <c r="G3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0CDC2-2BA3-4F7C-AAA7-545C89A2F6B7}">
  <sheetPr codeName="Sheet6"/>
  <dimension ref="A1:T27"/>
  <sheetViews>
    <sheetView topLeftCell="B1" workbookViewId="0">
      <selection activeCell="P17" sqref="P17:V35"/>
    </sheetView>
  </sheetViews>
  <sheetFormatPr defaultRowHeight="15" x14ac:dyDescent="0.25"/>
  <sheetData>
    <row r="1" spans="1:7" x14ac:dyDescent="0.25">
      <c r="A1" t="s">
        <v>42</v>
      </c>
    </row>
    <row r="3" spans="1:7" ht="15.75" thickBot="1" x14ac:dyDescent="0.3">
      <c r="A3" t="s">
        <v>43</v>
      </c>
    </row>
    <row r="4" spans="1:7" x14ac:dyDescent="0.25">
      <c r="A4" s="2" t="s">
        <v>44</v>
      </c>
      <c r="B4" s="2" t="s">
        <v>34</v>
      </c>
      <c r="C4" s="2" t="s">
        <v>33</v>
      </c>
      <c r="D4" s="2" t="s">
        <v>45</v>
      </c>
      <c r="E4" s="2" t="s">
        <v>46</v>
      </c>
    </row>
    <row r="5" spans="1:7" x14ac:dyDescent="0.25">
      <c r="A5">
        <v>78</v>
      </c>
      <c r="B5">
        <v>1</v>
      </c>
      <c r="C5">
        <v>500</v>
      </c>
      <c r="D5">
        <v>500</v>
      </c>
      <c r="E5" t="e">
        <v>#DIV/0!</v>
      </c>
    </row>
    <row r="6" spans="1:7" x14ac:dyDescent="0.25">
      <c r="A6">
        <v>23</v>
      </c>
      <c r="B6">
        <v>1</v>
      </c>
      <c r="C6">
        <v>459</v>
      </c>
      <c r="D6">
        <v>459</v>
      </c>
      <c r="E6" t="e">
        <v>#DIV/0!</v>
      </c>
    </row>
    <row r="7" spans="1:7" x14ac:dyDescent="0.25">
      <c r="A7">
        <v>78</v>
      </c>
      <c r="B7">
        <v>1</v>
      </c>
      <c r="C7">
        <v>264</v>
      </c>
      <c r="D7">
        <v>264</v>
      </c>
      <c r="E7" t="e">
        <v>#DIV/0!</v>
      </c>
    </row>
    <row r="8" spans="1:7" x14ac:dyDescent="0.25">
      <c r="A8">
        <v>18</v>
      </c>
      <c r="B8">
        <v>1</v>
      </c>
      <c r="C8">
        <v>768</v>
      </c>
      <c r="D8">
        <v>768</v>
      </c>
      <c r="E8" t="e">
        <v>#DIV/0!</v>
      </c>
    </row>
    <row r="9" spans="1:7" x14ac:dyDescent="0.25">
      <c r="A9">
        <v>23</v>
      </c>
      <c r="B9">
        <v>1</v>
      </c>
      <c r="C9">
        <v>549</v>
      </c>
      <c r="D9">
        <v>549</v>
      </c>
      <c r="E9" t="e">
        <v>#DIV/0!</v>
      </c>
    </row>
    <row r="10" spans="1:7" x14ac:dyDescent="0.25">
      <c r="A10">
        <v>35</v>
      </c>
      <c r="B10">
        <v>1</v>
      </c>
      <c r="C10">
        <v>834</v>
      </c>
      <c r="D10">
        <v>834</v>
      </c>
      <c r="E10" t="e">
        <v>#DIV/0!</v>
      </c>
    </row>
    <row r="11" spans="1:7" ht="15.75" thickBot="1" x14ac:dyDescent="0.3">
      <c r="A11" s="1">
        <v>29.5</v>
      </c>
      <c r="B11" s="1">
        <v>1</v>
      </c>
      <c r="C11" s="1">
        <v>549</v>
      </c>
      <c r="D11" s="1">
        <v>549</v>
      </c>
      <c r="E11" s="1" t="e">
        <v>#DIV/0!</v>
      </c>
    </row>
    <row r="14" spans="1:7" ht="15.75" thickBot="1" x14ac:dyDescent="0.3">
      <c r="A14" t="s">
        <v>47</v>
      </c>
    </row>
    <row r="15" spans="1:7" x14ac:dyDescent="0.25">
      <c r="A15" s="2" t="s">
        <v>48</v>
      </c>
      <c r="B15" s="2" t="s">
        <v>49</v>
      </c>
      <c r="C15" s="2" t="s">
        <v>50</v>
      </c>
      <c r="D15" s="2" t="s">
        <v>51</v>
      </c>
      <c r="E15" s="2" t="s">
        <v>52</v>
      </c>
      <c r="F15" s="2" t="s">
        <v>53</v>
      </c>
      <c r="G15" s="2" t="s">
        <v>54</v>
      </c>
    </row>
    <row r="16" spans="1:7" x14ac:dyDescent="0.25">
      <c r="A16" t="s">
        <v>55</v>
      </c>
      <c r="B16">
        <v>219997.71428571429</v>
      </c>
      <c r="C16">
        <v>6</v>
      </c>
      <c r="D16">
        <v>36666.285714285717</v>
      </c>
      <c r="E16">
        <v>65535</v>
      </c>
      <c r="F16" t="e">
        <v>#NUM!</v>
      </c>
      <c r="G16" t="e">
        <v>#NUM!</v>
      </c>
    </row>
    <row r="17" spans="1:20" x14ac:dyDescent="0.25">
      <c r="A17" t="s">
        <v>56</v>
      </c>
      <c r="B17">
        <v>0</v>
      </c>
      <c r="C17">
        <v>0</v>
      </c>
      <c r="D17">
        <v>65535</v>
      </c>
    </row>
    <row r="19" spans="1:20" ht="15.75" thickBot="1" x14ac:dyDescent="0.3">
      <c r="A19" s="1" t="s">
        <v>57</v>
      </c>
      <c r="B19" s="1">
        <v>219997.71428571429</v>
      </c>
      <c r="C19" s="1">
        <v>6</v>
      </c>
      <c r="D19" s="1"/>
      <c r="E19" s="1"/>
      <c r="F19" s="1"/>
      <c r="G19" s="1"/>
    </row>
    <row r="20" spans="1:20" x14ac:dyDescent="0.25">
      <c r="P20" s="2"/>
      <c r="Q20" s="2"/>
      <c r="R20" s="2"/>
      <c r="S20" s="2"/>
      <c r="T20" s="2"/>
    </row>
    <row r="27" spans="1:20" ht="15.75" thickBot="1" x14ac:dyDescent="0.3">
      <c r="P27" s="1"/>
      <c r="Q27" s="1"/>
      <c r="R27" s="1"/>
      <c r="S27" s="1"/>
      <c r="T2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1807-6644-424E-A78D-DEA88B472817}">
  <sheetPr codeName="Sheet7"/>
  <dimension ref="A3:B5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140625" bestFit="1" customWidth="1"/>
  </cols>
  <sheetData>
    <row r="3" spans="1:2" x14ac:dyDescent="0.25">
      <c r="A3" s="42" t="s">
        <v>71</v>
      </c>
      <c r="B3" t="s">
        <v>75</v>
      </c>
    </row>
    <row r="4" spans="1:2" x14ac:dyDescent="0.25">
      <c r="A4" s="43" t="s">
        <v>73</v>
      </c>
    </row>
    <row r="5" spans="1:2" x14ac:dyDescent="0.25">
      <c r="A5" s="43" t="s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F2895-DB6A-49BC-AF29-1AE698C58DF7}">
  <sheetPr codeName="Sheet8"/>
  <dimension ref="A3:B24"/>
  <sheetViews>
    <sheetView workbookViewId="0">
      <selection activeCell="A3" sqref="A3"/>
    </sheetView>
  </sheetViews>
  <sheetFormatPr defaultRowHeight="15" x14ac:dyDescent="0.25"/>
  <cols>
    <col min="1" max="1" width="18.140625" bestFit="1" customWidth="1"/>
    <col min="2" max="2" width="22.7109375" bestFit="1" customWidth="1"/>
  </cols>
  <sheetData>
    <row r="3" spans="1:2" x14ac:dyDescent="0.25">
      <c r="A3" s="42" t="s">
        <v>71</v>
      </c>
      <c r="B3" t="s">
        <v>72</v>
      </c>
    </row>
    <row r="4" spans="1:2" x14ac:dyDescent="0.25">
      <c r="A4" s="43">
        <v>-0.13356448240170024</v>
      </c>
    </row>
    <row r="5" spans="1:2" x14ac:dyDescent="0.25">
      <c r="A5" s="43">
        <v>4.137031864506098E-2</v>
      </c>
    </row>
    <row r="6" spans="1:2" x14ac:dyDescent="0.25">
      <c r="A6" s="43">
        <v>0.12773263653600078</v>
      </c>
    </row>
    <row r="7" spans="1:2" x14ac:dyDescent="0.25">
      <c r="A7" s="43">
        <v>1</v>
      </c>
    </row>
    <row r="8" spans="1:2" x14ac:dyDescent="0.25">
      <c r="A8" s="43" t="s">
        <v>5</v>
      </c>
      <c r="B8">
        <v>0</v>
      </c>
    </row>
    <row r="9" spans="1:2" x14ac:dyDescent="0.25">
      <c r="A9" s="43" t="s">
        <v>17</v>
      </c>
      <c r="B9">
        <v>0</v>
      </c>
    </row>
    <row r="10" spans="1:2" x14ac:dyDescent="0.25">
      <c r="A10" s="43" t="s">
        <v>34</v>
      </c>
      <c r="B10">
        <v>0</v>
      </c>
    </row>
    <row r="11" spans="1:2" x14ac:dyDescent="0.25">
      <c r="A11" s="43" t="s">
        <v>28</v>
      </c>
      <c r="B11">
        <v>0</v>
      </c>
    </row>
    <row r="12" spans="1:2" x14ac:dyDescent="0.25">
      <c r="A12" s="43" t="s">
        <v>32</v>
      </c>
      <c r="B12">
        <v>1</v>
      </c>
    </row>
    <row r="13" spans="1:2" x14ac:dyDescent="0.25">
      <c r="A13" s="43" t="s">
        <v>22</v>
      </c>
      <c r="B13">
        <v>1</v>
      </c>
    </row>
    <row r="14" spans="1:2" x14ac:dyDescent="0.25">
      <c r="A14" s="43" t="s">
        <v>24</v>
      </c>
      <c r="B14">
        <v>1</v>
      </c>
    </row>
    <row r="15" spans="1:2" x14ac:dyDescent="0.25">
      <c r="A15" s="43" t="s">
        <v>31</v>
      </c>
      <c r="B15">
        <v>0</v>
      </c>
    </row>
    <row r="16" spans="1:2" x14ac:dyDescent="0.25">
      <c r="A16" s="43" t="s">
        <v>25</v>
      </c>
      <c r="B16">
        <v>0</v>
      </c>
    </row>
    <row r="17" spans="1:2" x14ac:dyDescent="0.25">
      <c r="A17" s="43" t="s">
        <v>30</v>
      </c>
      <c r="B17">
        <v>0</v>
      </c>
    </row>
    <row r="18" spans="1:2" x14ac:dyDescent="0.25">
      <c r="A18" s="43" t="s">
        <v>27</v>
      </c>
      <c r="B18">
        <v>1</v>
      </c>
    </row>
    <row r="19" spans="1:2" x14ac:dyDescent="0.25">
      <c r="A19" s="43" t="s">
        <v>29</v>
      </c>
      <c r="B19">
        <v>0</v>
      </c>
    </row>
    <row r="20" spans="1:2" x14ac:dyDescent="0.25">
      <c r="A20" s="43" t="s">
        <v>26</v>
      </c>
      <c r="B20">
        <v>1</v>
      </c>
    </row>
    <row r="21" spans="1:2" x14ac:dyDescent="0.25">
      <c r="A21" s="43" t="s">
        <v>23</v>
      </c>
      <c r="B21">
        <v>0</v>
      </c>
    </row>
    <row r="22" spans="1:2" x14ac:dyDescent="0.25">
      <c r="A22" s="43" t="s">
        <v>33</v>
      </c>
      <c r="B22">
        <v>1</v>
      </c>
    </row>
    <row r="23" spans="1:2" x14ac:dyDescent="0.25">
      <c r="A23" s="43" t="s">
        <v>73</v>
      </c>
      <c r="B23">
        <v>6</v>
      </c>
    </row>
    <row r="24" spans="1:2" x14ac:dyDescent="0.25">
      <c r="A24" s="43" t="s">
        <v>74</v>
      </c>
      <c r="B24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CBA88-C616-4DB9-B3DB-22B6E0086B3B}">
  <sheetPr codeName="Sheet9"/>
  <dimension ref="A1:BR85"/>
  <sheetViews>
    <sheetView tabSelected="1" zoomScaleNormal="100" workbookViewId="0">
      <selection activeCell="C1" sqref="C1:E15"/>
    </sheetView>
  </sheetViews>
  <sheetFormatPr defaultRowHeight="15" x14ac:dyDescent="0.25"/>
  <cols>
    <col min="1" max="1" width="11.28515625" bestFit="1" customWidth="1"/>
    <col min="2" max="2" width="10.5703125" bestFit="1" customWidth="1"/>
    <col min="7" max="7" width="15.28515625" bestFit="1" customWidth="1"/>
    <col min="8" max="8" width="10" bestFit="1" customWidth="1"/>
    <col min="9" max="9" width="15.7109375" bestFit="1" customWidth="1"/>
    <col min="10" max="10" width="15.28515625" bestFit="1" customWidth="1"/>
    <col min="14" max="14" width="18.7109375" customWidth="1"/>
    <col min="16" max="16" width="13" customWidth="1"/>
    <col min="18" max="18" width="18.28515625" customWidth="1"/>
    <col min="19" max="19" width="14" customWidth="1"/>
    <col min="20" max="20" width="15.85546875" bestFit="1" customWidth="1"/>
    <col min="25" max="25" width="10.140625" customWidth="1"/>
    <col min="27" max="27" width="18" customWidth="1"/>
    <col min="33" max="33" width="12.85546875" customWidth="1"/>
    <col min="34" max="34" width="17.85546875" customWidth="1"/>
    <col min="40" max="40" width="12" bestFit="1" customWidth="1"/>
    <col min="41" max="41" width="23.140625" customWidth="1"/>
    <col min="48" max="48" width="33.28515625" bestFit="1" customWidth="1"/>
    <col min="52" max="52" width="11" bestFit="1" customWidth="1"/>
    <col min="56" max="56" width="18.85546875" customWidth="1"/>
    <col min="64" max="64" width="20" customWidth="1"/>
  </cols>
  <sheetData>
    <row r="1" spans="1:68" x14ac:dyDescent="0.2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</row>
    <row r="2" spans="1:68" ht="31.5" x14ac:dyDescent="0.5">
      <c r="A2" s="6">
        <v>619</v>
      </c>
      <c r="B2" s="6" t="s">
        <v>10</v>
      </c>
      <c r="C2" s="6" t="s">
        <v>11</v>
      </c>
      <c r="D2" s="6">
        <v>42</v>
      </c>
      <c r="E2" s="6">
        <v>2</v>
      </c>
      <c r="F2" s="6">
        <v>0</v>
      </c>
      <c r="G2" s="6">
        <v>1</v>
      </c>
      <c r="H2" s="6">
        <v>1</v>
      </c>
      <c r="I2" s="6">
        <v>1</v>
      </c>
      <c r="J2" s="6">
        <v>101348.88</v>
      </c>
      <c r="M2" s="4" t="s">
        <v>66</v>
      </c>
      <c r="N2" s="4"/>
      <c r="O2" s="4"/>
      <c r="P2" s="5"/>
      <c r="Q2" s="5"/>
      <c r="AH2" s="11" t="s">
        <v>58</v>
      </c>
      <c r="AI2" s="11"/>
      <c r="AJ2" s="11"/>
      <c r="AK2" s="11"/>
      <c r="AL2" s="12"/>
      <c r="AM2" s="12"/>
      <c r="AN2" s="12"/>
    </row>
    <row r="3" spans="1:68" x14ac:dyDescent="0.25">
      <c r="A3" s="6">
        <v>608</v>
      </c>
      <c r="B3" s="6" t="s">
        <v>12</v>
      </c>
      <c r="C3" s="6" t="s">
        <v>11</v>
      </c>
      <c r="D3" s="6">
        <v>41</v>
      </c>
      <c r="E3" s="6">
        <v>1</v>
      </c>
      <c r="F3" s="6">
        <v>83807.86</v>
      </c>
      <c r="G3" s="6">
        <v>1</v>
      </c>
      <c r="H3" s="6">
        <v>0</v>
      </c>
      <c r="I3" s="6">
        <v>1</v>
      </c>
      <c r="J3" s="6">
        <v>112542.58</v>
      </c>
    </row>
    <row r="4" spans="1:68" ht="26.25" x14ac:dyDescent="0.4">
      <c r="A4" s="6">
        <v>502</v>
      </c>
      <c r="B4" s="6" t="s">
        <v>10</v>
      </c>
      <c r="C4" s="6" t="s">
        <v>11</v>
      </c>
      <c r="D4" s="6">
        <v>42</v>
      </c>
      <c r="E4" s="6">
        <v>8</v>
      </c>
      <c r="F4" s="6">
        <v>159660.79999999999</v>
      </c>
      <c r="G4" s="6">
        <v>3</v>
      </c>
      <c r="H4" s="6">
        <v>1</v>
      </c>
      <c r="I4" s="6">
        <v>0</v>
      </c>
      <c r="J4" s="6">
        <v>113931.57</v>
      </c>
      <c r="M4" s="16" t="s">
        <v>15</v>
      </c>
      <c r="N4" s="16"/>
      <c r="O4" s="16" t="s">
        <v>16</v>
      </c>
      <c r="P4" s="16"/>
      <c r="Q4" s="16" t="s">
        <v>17</v>
      </c>
      <c r="R4" s="16"/>
      <c r="S4" s="16" t="s">
        <v>18</v>
      </c>
      <c r="T4" s="16"/>
      <c r="U4" s="16" t="s">
        <v>19</v>
      </c>
      <c r="V4" s="16"/>
      <c r="W4" s="16" t="s">
        <v>20</v>
      </c>
      <c r="X4" s="16"/>
      <c r="Y4" s="16" t="s">
        <v>21</v>
      </c>
      <c r="Z4" s="16"/>
      <c r="AB4" s="9" t="s">
        <v>42</v>
      </c>
      <c r="AC4" s="9"/>
      <c r="AD4" s="10"/>
      <c r="AE4" s="10"/>
      <c r="AH4" s="17" t="s">
        <v>43</v>
      </c>
      <c r="AI4" s="17">
        <v>42</v>
      </c>
      <c r="AJ4" s="17">
        <v>2</v>
      </c>
      <c r="AK4" s="17">
        <v>0</v>
      </c>
      <c r="AL4" s="17" t="s">
        <v>57</v>
      </c>
      <c r="AM4" s="6"/>
      <c r="BL4" s="22" t="s">
        <v>63</v>
      </c>
      <c r="BM4" s="22"/>
      <c r="BN4" s="22"/>
      <c r="BO4" s="22"/>
    </row>
    <row r="5" spans="1:68" ht="26.25" x14ac:dyDescent="0.4">
      <c r="A5" s="6">
        <v>699</v>
      </c>
      <c r="B5" s="6" t="s">
        <v>10</v>
      </c>
      <c r="C5" s="6" t="s">
        <v>11</v>
      </c>
      <c r="D5" s="6">
        <v>39</v>
      </c>
      <c r="E5" s="6">
        <v>1</v>
      </c>
      <c r="F5" s="6">
        <v>0</v>
      </c>
      <c r="G5" s="6">
        <v>2</v>
      </c>
      <c r="H5" s="6">
        <v>0</v>
      </c>
      <c r="I5" s="6">
        <v>0</v>
      </c>
      <c r="J5" s="6">
        <v>93826.63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H5" s="18" t="s">
        <v>11</v>
      </c>
      <c r="AI5" s="18"/>
      <c r="AJ5" s="18"/>
      <c r="AK5" s="18"/>
      <c r="AL5" s="18"/>
      <c r="AM5" s="6"/>
      <c r="AO5" s="13" t="s">
        <v>63</v>
      </c>
      <c r="AP5" s="13"/>
      <c r="AQ5" s="13"/>
      <c r="AR5" s="13"/>
      <c r="AS5" s="13"/>
      <c r="AT5" s="14"/>
      <c r="AU5" s="14"/>
      <c r="AX5" s="29" t="s">
        <v>2</v>
      </c>
      <c r="AY5" s="29" t="s">
        <v>3</v>
      </c>
      <c r="AZ5" s="29" t="s">
        <v>69</v>
      </c>
      <c r="BD5" s="23" t="s">
        <v>42</v>
      </c>
      <c r="BE5" s="23"/>
      <c r="BF5" s="23"/>
      <c r="BG5" s="23"/>
    </row>
    <row r="6" spans="1:68" x14ac:dyDescent="0.25">
      <c r="A6" s="6">
        <v>850</v>
      </c>
      <c r="B6" s="6" t="s">
        <v>12</v>
      </c>
      <c r="C6" s="6" t="s">
        <v>11</v>
      </c>
      <c r="D6" s="6">
        <v>43</v>
      </c>
      <c r="E6" s="6">
        <v>2</v>
      </c>
      <c r="F6" s="6">
        <v>125510.82</v>
      </c>
      <c r="G6" s="6">
        <v>1</v>
      </c>
      <c r="H6" s="6">
        <v>1</v>
      </c>
      <c r="I6" s="6">
        <v>1</v>
      </c>
      <c r="J6" s="6">
        <v>79084.100000000006</v>
      </c>
      <c r="M6" s="17" t="s">
        <v>22</v>
      </c>
      <c r="N6" s="17">
        <v>37.260869565217391</v>
      </c>
      <c r="O6" s="17" t="s">
        <v>22</v>
      </c>
      <c r="P6" s="17">
        <v>5</v>
      </c>
      <c r="Q6" s="17" t="s">
        <v>22</v>
      </c>
      <c r="R6" s="17">
        <v>54442.867826086956</v>
      </c>
      <c r="S6" s="17" t="s">
        <v>22</v>
      </c>
      <c r="T6" s="17">
        <v>1.826086956521739</v>
      </c>
      <c r="U6" s="17" t="s">
        <v>22</v>
      </c>
      <c r="V6" s="17">
        <v>0.69565217391304346</v>
      </c>
      <c r="W6" s="17" t="s">
        <v>22</v>
      </c>
      <c r="X6" s="17">
        <v>0.47826086956521741</v>
      </c>
      <c r="Y6" s="17" t="s">
        <v>22</v>
      </c>
      <c r="Z6" s="17">
        <v>90947.968260869558</v>
      </c>
      <c r="AB6" s="39" t="s">
        <v>43</v>
      </c>
      <c r="AC6" s="39"/>
      <c r="AD6" s="39"/>
      <c r="AE6" s="39"/>
      <c r="AF6" s="39"/>
      <c r="AH6" s="17" t="s">
        <v>34</v>
      </c>
      <c r="AI6" s="17">
        <v>2</v>
      </c>
      <c r="AJ6" s="17">
        <v>2</v>
      </c>
      <c r="AK6" s="17">
        <v>2</v>
      </c>
      <c r="AL6" s="17">
        <v>6</v>
      </c>
      <c r="AM6" s="6"/>
      <c r="AX6" s="30" t="s">
        <v>70</v>
      </c>
      <c r="AY6" s="30">
        <v>78</v>
      </c>
      <c r="AZ6" s="30">
        <v>500</v>
      </c>
      <c r="BL6" s="36" t="s">
        <v>43</v>
      </c>
      <c r="BM6" s="36" t="s">
        <v>34</v>
      </c>
      <c r="BN6" s="36" t="s">
        <v>33</v>
      </c>
      <c r="BO6" s="36" t="s">
        <v>45</v>
      </c>
      <c r="BP6" s="36" t="s">
        <v>46</v>
      </c>
    </row>
    <row r="7" spans="1:68" x14ac:dyDescent="0.25">
      <c r="A7" s="6">
        <v>645</v>
      </c>
      <c r="B7" s="6" t="s">
        <v>12</v>
      </c>
      <c r="C7" s="6" t="s">
        <v>13</v>
      </c>
      <c r="D7" s="6">
        <v>44</v>
      </c>
      <c r="E7" s="6">
        <v>8</v>
      </c>
      <c r="F7" s="6">
        <v>113755.78</v>
      </c>
      <c r="G7" s="6">
        <v>2</v>
      </c>
      <c r="H7" s="6">
        <v>1</v>
      </c>
      <c r="I7" s="6">
        <v>0</v>
      </c>
      <c r="J7" s="6">
        <v>149756.71</v>
      </c>
      <c r="M7" s="17" t="s">
        <v>23</v>
      </c>
      <c r="N7" s="17">
        <v>1.9102566838100323</v>
      </c>
      <c r="O7" s="17" t="s">
        <v>23</v>
      </c>
      <c r="P7" s="17">
        <v>0.58640729683945902</v>
      </c>
      <c r="Q7" s="17" t="s">
        <v>23</v>
      </c>
      <c r="R7" s="17">
        <v>13560.398012595821</v>
      </c>
      <c r="S7" s="17" t="s">
        <v>23</v>
      </c>
      <c r="T7" s="17">
        <v>0.14946775020702793</v>
      </c>
      <c r="U7" s="17" t="s">
        <v>23</v>
      </c>
      <c r="V7" s="17">
        <v>9.8100186924828928E-2</v>
      </c>
      <c r="W7" s="17" t="s">
        <v>23</v>
      </c>
      <c r="X7" s="17">
        <v>0.10649955403405124</v>
      </c>
      <c r="Y7" s="17" t="s">
        <v>23</v>
      </c>
      <c r="Z7" s="17">
        <v>10621.089457997856</v>
      </c>
      <c r="AB7" s="40" t="s">
        <v>44</v>
      </c>
      <c r="AC7" s="40" t="s">
        <v>34</v>
      </c>
      <c r="AD7" s="40" t="s">
        <v>33</v>
      </c>
      <c r="AE7" s="40" t="s">
        <v>45</v>
      </c>
      <c r="AF7" s="40" t="s">
        <v>46</v>
      </c>
      <c r="AH7" s="17" t="s">
        <v>33</v>
      </c>
      <c r="AI7" s="17">
        <v>83</v>
      </c>
      <c r="AJ7" s="17">
        <v>9</v>
      </c>
      <c r="AK7" s="17">
        <v>243468.65999999997</v>
      </c>
      <c r="AL7" s="17">
        <v>243560.65999999997</v>
      </c>
      <c r="AM7" s="6"/>
      <c r="AO7" s="16" t="s">
        <v>43</v>
      </c>
      <c r="AP7" s="16" t="s">
        <v>34</v>
      </c>
      <c r="AQ7" s="16" t="s">
        <v>33</v>
      </c>
      <c r="AR7" s="16" t="s">
        <v>45</v>
      </c>
      <c r="AS7" s="16" t="s">
        <v>46</v>
      </c>
      <c r="AX7" s="30" t="s">
        <v>68</v>
      </c>
      <c r="AY7" s="30">
        <v>23</v>
      </c>
      <c r="AZ7" s="30">
        <v>459</v>
      </c>
      <c r="BD7" s="33" t="s">
        <v>43</v>
      </c>
      <c r="BE7" s="33"/>
      <c r="BF7" s="33"/>
      <c r="BG7" s="33"/>
      <c r="BH7" s="33"/>
      <c r="BL7" s="17" t="s">
        <v>68</v>
      </c>
      <c r="BM7" s="17">
        <v>2</v>
      </c>
      <c r="BN7" s="17">
        <v>482</v>
      </c>
      <c r="BO7" s="17">
        <v>241</v>
      </c>
      <c r="BP7" s="17">
        <v>95048</v>
      </c>
    </row>
    <row r="8" spans="1:68" x14ac:dyDescent="0.25">
      <c r="A8" s="6">
        <v>822</v>
      </c>
      <c r="B8" s="6" t="s">
        <v>10</v>
      </c>
      <c r="C8" s="6" t="s">
        <v>13</v>
      </c>
      <c r="D8" s="6">
        <v>50</v>
      </c>
      <c r="E8" s="6">
        <v>7</v>
      </c>
      <c r="F8" s="6">
        <v>0</v>
      </c>
      <c r="G8" s="6">
        <v>2</v>
      </c>
      <c r="H8" s="6">
        <v>1</v>
      </c>
      <c r="I8" s="6">
        <v>1</v>
      </c>
      <c r="J8" s="6">
        <v>10062.799999999999</v>
      </c>
      <c r="M8" s="17" t="s">
        <v>24</v>
      </c>
      <c r="N8" s="17">
        <v>39</v>
      </c>
      <c r="O8" s="17" t="s">
        <v>24</v>
      </c>
      <c r="P8" s="17">
        <v>5</v>
      </c>
      <c r="Q8" s="17" t="s">
        <v>24</v>
      </c>
      <c r="R8" s="17">
        <v>0</v>
      </c>
      <c r="S8" s="17" t="s">
        <v>24</v>
      </c>
      <c r="T8" s="17">
        <v>2</v>
      </c>
      <c r="U8" s="17" t="s">
        <v>24</v>
      </c>
      <c r="V8" s="17">
        <v>1</v>
      </c>
      <c r="W8" s="17" t="s">
        <v>24</v>
      </c>
      <c r="X8" s="17">
        <v>0</v>
      </c>
      <c r="Y8" s="17" t="s">
        <v>24</v>
      </c>
      <c r="Z8" s="17">
        <v>80181.119999999995</v>
      </c>
      <c r="AB8" s="17">
        <v>42</v>
      </c>
      <c r="AC8" s="17">
        <v>2</v>
      </c>
      <c r="AD8" s="17">
        <v>2</v>
      </c>
      <c r="AE8" s="17">
        <v>1</v>
      </c>
      <c r="AF8" s="17">
        <v>2</v>
      </c>
      <c r="AH8" s="17" t="s">
        <v>45</v>
      </c>
      <c r="AI8" s="17">
        <v>41.5</v>
      </c>
      <c r="AJ8" s="17">
        <v>4.5</v>
      </c>
      <c r="AK8" s="17">
        <v>121734.32999999999</v>
      </c>
      <c r="AL8" s="17">
        <v>40593.443333333329</v>
      </c>
      <c r="AM8" s="6"/>
      <c r="AO8" s="17" t="s">
        <v>11</v>
      </c>
      <c r="AP8" s="17">
        <v>3</v>
      </c>
      <c r="AQ8" s="17">
        <v>83849.86</v>
      </c>
      <c r="AR8" s="17">
        <v>27949.953333333335</v>
      </c>
      <c r="AS8" s="17">
        <v>2340079702.8865337</v>
      </c>
      <c r="AX8" s="30" t="s">
        <v>68</v>
      </c>
      <c r="AY8" s="30">
        <v>78</v>
      </c>
      <c r="AZ8" s="30">
        <v>264</v>
      </c>
      <c r="BD8" s="34" t="s">
        <v>44</v>
      </c>
      <c r="BE8" s="34" t="s">
        <v>34</v>
      </c>
      <c r="BF8" s="34" t="s">
        <v>33</v>
      </c>
      <c r="BG8" s="34" t="s">
        <v>45</v>
      </c>
      <c r="BH8" s="34" t="s">
        <v>46</v>
      </c>
      <c r="BL8" s="17" t="s">
        <v>68</v>
      </c>
      <c r="BM8" s="17">
        <v>2</v>
      </c>
      <c r="BN8" s="17">
        <v>342</v>
      </c>
      <c r="BO8" s="17">
        <v>171</v>
      </c>
      <c r="BP8" s="17">
        <v>17298</v>
      </c>
    </row>
    <row r="9" spans="1:68" x14ac:dyDescent="0.25">
      <c r="A9" s="6">
        <v>376</v>
      </c>
      <c r="B9" s="6" t="s">
        <v>14</v>
      </c>
      <c r="C9" s="6" t="s">
        <v>11</v>
      </c>
      <c r="D9" s="6">
        <v>29</v>
      </c>
      <c r="E9" s="6">
        <v>4</v>
      </c>
      <c r="F9" s="6">
        <v>115046.74</v>
      </c>
      <c r="G9" s="6">
        <v>4</v>
      </c>
      <c r="H9" s="6">
        <v>1</v>
      </c>
      <c r="I9" s="6">
        <v>0</v>
      </c>
      <c r="J9" s="6">
        <v>119346.88</v>
      </c>
      <c r="M9" s="17" t="s">
        <v>25</v>
      </c>
      <c r="N9" s="17">
        <v>24</v>
      </c>
      <c r="O9" s="17" t="s">
        <v>25</v>
      </c>
      <c r="P9" s="17">
        <v>8</v>
      </c>
      <c r="Q9" s="17" t="s">
        <v>25</v>
      </c>
      <c r="R9" s="17">
        <v>0</v>
      </c>
      <c r="S9" s="17" t="s">
        <v>25</v>
      </c>
      <c r="T9" s="17">
        <v>2</v>
      </c>
      <c r="U9" s="17" t="s">
        <v>25</v>
      </c>
      <c r="V9" s="17">
        <v>1</v>
      </c>
      <c r="W9" s="17" t="s">
        <v>25</v>
      </c>
      <c r="X9" s="17">
        <v>0</v>
      </c>
      <c r="Y9" s="17" t="s">
        <v>25</v>
      </c>
      <c r="Z9" s="17" t="e">
        <v>#N/A</v>
      </c>
      <c r="AB9" s="17">
        <v>41</v>
      </c>
      <c r="AC9" s="17">
        <v>2</v>
      </c>
      <c r="AD9" s="17">
        <v>83808.86</v>
      </c>
      <c r="AE9" s="17">
        <v>41904.43</v>
      </c>
      <c r="AF9" s="17">
        <v>3511794891.5297999</v>
      </c>
      <c r="AH9" s="17" t="s">
        <v>46</v>
      </c>
      <c r="AI9" s="17">
        <v>0.5</v>
      </c>
      <c r="AJ9" s="17">
        <v>24.5</v>
      </c>
      <c r="AK9" s="17">
        <v>2876834253.3218002</v>
      </c>
      <c r="AL9" s="17">
        <v>4525673222.8960667</v>
      </c>
      <c r="AM9" s="6"/>
      <c r="AO9" s="17" t="s">
        <v>11</v>
      </c>
      <c r="AP9" s="17">
        <v>3</v>
      </c>
      <c r="AQ9" s="17">
        <v>159710.79999999999</v>
      </c>
      <c r="AR9" s="17">
        <v>53236.933333333327</v>
      </c>
      <c r="AS9" s="17">
        <v>8494529836.2133312</v>
      </c>
      <c r="AX9" s="30" t="s">
        <v>70</v>
      </c>
      <c r="AY9" s="30">
        <v>18</v>
      </c>
      <c r="AZ9" s="30">
        <v>768</v>
      </c>
      <c r="BD9" s="28">
        <v>78</v>
      </c>
      <c r="BE9" s="28">
        <v>1</v>
      </c>
      <c r="BF9" s="28">
        <v>500</v>
      </c>
      <c r="BG9" s="28">
        <v>500</v>
      </c>
      <c r="BH9" s="28" t="e">
        <v>#DIV/0!</v>
      </c>
      <c r="BL9" s="17" t="s">
        <v>70</v>
      </c>
      <c r="BM9" s="17">
        <v>2</v>
      </c>
      <c r="BN9" s="17">
        <v>786</v>
      </c>
      <c r="BO9" s="17">
        <v>393</v>
      </c>
      <c r="BP9" s="17">
        <v>281250</v>
      </c>
    </row>
    <row r="10" spans="1:68" x14ac:dyDescent="0.25">
      <c r="A10" s="6">
        <v>501</v>
      </c>
      <c r="B10" s="6" t="s">
        <v>10</v>
      </c>
      <c r="C10" s="6" t="s">
        <v>13</v>
      </c>
      <c r="D10" s="6">
        <v>44</v>
      </c>
      <c r="E10" s="6">
        <v>4</v>
      </c>
      <c r="F10" s="6">
        <v>142051.07</v>
      </c>
      <c r="G10" s="6">
        <v>2</v>
      </c>
      <c r="H10" s="6">
        <v>0</v>
      </c>
      <c r="I10" s="6">
        <v>1</v>
      </c>
      <c r="J10" s="6">
        <v>74940.5</v>
      </c>
      <c r="M10" s="17" t="s">
        <v>26</v>
      </c>
      <c r="N10" s="17">
        <v>9.1612692218349707</v>
      </c>
      <c r="O10" s="17" t="s">
        <v>26</v>
      </c>
      <c r="P10" s="17">
        <v>2.8123105996832765</v>
      </c>
      <c r="Q10" s="17" t="s">
        <v>26</v>
      </c>
      <c r="R10" s="17">
        <v>65033.384257474179</v>
      </c>
      <c r="S10" s="17" t="s">
        <v>26</v>
      </c>
      <c r="T10" s="17">
        <v>0.71682214816149581</v>
      </c>
      <c r="U10" s="17" t="s">
        <v>26</v>
      </c>
      <c r="V10" s="17">
        <v>0.4704719688969648</v>
      </c>
      <c r="W10" s="17" t="s">
        <v>26</v>
      </c>
      <c r="X10" s="17">
        <v>0.5107539184552492</v>
      </c>
      <c r="Y10" s="17" t="s">
        <v>26</v>
      </c>
      <c r="Z10" s="17">
        <v>50936.955634590522</v>
      </c>
      <c r="AB10" s="17">
        <v>42</v>
      </c>
      <c r="AC10" s="17">
        <v>2</v>
      </c>
      <c r="AD10" s="17">
        <v>159668.79999999999</v>
      </c>
      <c r="AE10" s="17">
        <v>79834.399999999994</v>
      </c>
      <c r="AF10" s="17">
        <v>12744508273.919998</v>
      </c>
      <c r="AH10" s="17"/>
      <c r="AI10" s="17"/>
      <c r="AJ10" s="17"/>
      <c r="AK10" s="17"/>
      <c r="AL10" s="17"/>
      <c r="AM10" s="6"/>
      <c r="AO10" s="17" t="s">
        <v>11</v>
      </c>
      <c r="AP10" s="17">
        <v>3</v>
      </c>
      <c r="AQ10" s="17">
        <v>40</v>
      </c>
      <c r="AR10" s="17">
        <v>13.333333333333334</v>
      </c>
      <c r="AS10" s="17">
        <v>494.33333333333331</v>
      </c>
      <c r="AX10" s="30" t="s">
        <v>70</v>
      </c>
      <c r="AY10" s="30">
        <v>23</v>
      </c>
      <c r="AZ10" s="30">
        <v>549</v>
      </c>
      <c r="BD10" s="28">
        <v>23</v>
      </c>
      <c r="BE10" s="28">
        <v>1</v>
      </c>
      <c r="BF10" s="28">
        <v>459</v>
      </c>
      <c r="BG10" s="28">
        <v>459</v>
      </c>
      <c r="BH10" s="28" t="e">
        <v>#DIV/0!</v>
      </c>
      <c r="BL10" s="17" t="s">
        <v>70</v>
      </c>
      <c r="BM10" s="17">
        <v>2</v>
      </c>
      <c r="BN10" s="17">
        <v>572</v>
      </c>
      <c r="BO10" s="17">
        <v>286</v>
      </c>
      <c r="BP10" s="17">
        <v>138338</v>
      </c>
    </row>
    <row r="11" spans="1:68" x14ac:dyDescent="0.25">
      <c r="A11" s="6">
        <v>684</v>
      </c>
      <c r="B11" s="6" t="s">
        <v>10</v>
      </c>
      <c r="C11" s="6" t="s">
        <v>13</v>
      </c>
      <c r="D11" s="6">
        <v>27</v>
      </c>
      <c r="E11" s="6">
        <v>2</v>
      </c>
      <c r="F11" s="6">
        <v>134603.88</v>
      </c>
      <c r="G11" s="6">
        <v>1</v>
      </c>
      <c r="H11" s="6">
        <v>1</v>
      </c>
      <c r="I11" s="6">
        <v>1</v>
      </c>
      <c r="J11" s="6">
        <v>71725.73</v>
      </c>
      <c r="M11" s="17" t="s">
        <v>27</v>
      </c>
      <c r="N11" s="17">
        <v>83.928853754940732</v>
      </c>
      <c r="O11" s="17" t="s">
        <v>27</v>
      </c>
      <c r="P11" s="17">
        <v>7.9090909090909092</v>
      </c>
      <c r="Q11" s="17" t="s">
        <v>27</v>
      </c>
      <c r="R11" s="17">
        <v>4229341067.9802904</v>
      </c>
      <c r="S11" s="17" t="s">
        <v>27</v>
      </c>
      <c r="T11" s="17">
        <v>0.51383399209486147</v>
      </c>
      <c r="U11" s="17" t="s">
        <v>27</v>
      </c>
      <c r="V11" s="17">
        <v>0.22134387351778659</v>
      </c>
      <c r="W11" s="17" t="s">
        <v>27</v>
      </c>
      <c r="X11" s="17">
        <v>0.2608695652173913</v>
      </c>
      <c r="Y11" s="17" t="s">
        <v>27</v>
      </c>
      <c r="Z11" s="17">
        <v>2594573449.3202434</v>
      </c>
      <c r="AB11" s="17">
        <v>39</v>
      </c>
      <c r="AC11" s="17">
        <v>2</v>
      </c>
      <c r="AD11" s="17">
        <v>1</v>
      </c>
      <c r="AE11" s="17">
        <v>0.5</v>
      </c>
      <c r="AF11" s="17">
        <v>0.5</v>
      </c>
      <c r="AH11" s="18" t="s">
        <v>11</v>
      </c>
      <c r="AI11" s="18"/>
      <c r="AJ11" s="18"/>
      <c r="AK11" s="18"/>
      <c r="AL11" s="18"/>
      <c r="AM11" s="6"/>
      <c r="AO11" s="17" t="s">
        <v>11</v>
      </c>
      <c r="AP11" s="17">
        <v>3</v>
      </c>
      <c r="AQ11" s="17">
        <v>125555.82</v>
      </c>
      <c r="AR11" s="17">
        <v>41851.94</v>
      </c>
      <c r="AS11" s="17">
        <v>5249106572.3908005</v>
      </c>
      <c r="AX11" s="30" t="s">
        <v>68</v>
      </c>
      <c r="AY11" s="30">
        <v>35</v>
      </c>
      <c r="AZ11" s="30">
        <v>834</v>
      </c>
      <c r="BD11" s="28">
        <v>56</v>
      </c>
      <c r="BE11" s="28">
        <v>1</v>
      </c>
      <c r="BF11" s="28">
        <v>264</v>
      </c>
      <c r="BG11" s="28">
        <v>264</v>
      </c>
      <c r="BH11" s="28" t="e">
        <v>#DIV/0!</v>
      </c>
      <c r="BL11" s="17" t="s">
        <v>68</v>
      </c>
      <c r="BM11" s="17">
        <v>2</v>
      </c>
      <c r="BN11" s="17">
        <v>869</v>
      </c>
      <c r="BO11" s="17">
        <v>434.5</v>
      </c>
      <c r="BP11" s="17">
        <v>319200.5</v>
      </c>
    </row>
    <row r="12" spans="1:68" x14ac:dyDescent="0.25">
      <c r="A12" s="6">
        <v>528</v>
      </c>
      <c r="B12" s="6" t="s">
        <v>10</v>
      </c>
      <c r="C12" s="6" t="s">
        <v>13</v>
      </c>
      <c r="D12" s="6">
        <v>31</v>
      </c>
      <c r="E12" s="6">
        <v>6</v>
      </c>
      <c r="F12" s="6">
        <v>102016.72</v>
      </c>
      <c r="G12" s="6">
        <v>2</v>
      </c>
      <c r="H12" s="6">
        <v>0</v>
      </c>
      <c r="I12" s="6">
        <v>0</v>
      </c>
      <c r="J12" s="6">
        <v>80181.119999999995</v>
      </c>
      <c r="M12" s="17" t="s">
        <v>28</v>
      </c>
      <c r="N12" s="17">
        <v>-0.41520155161071415</v>
      </c>
      <c r="O12" s="17" t="s">
        <v>28</v>
      </c>
      <c r="P12" s="17">
        <v>-1.2739595719381702</v>
      </c>
      <c r="Q12" s="17" t="s">
        <v>28</v>
      </c>
      <c r="R12" s="17">
        <v>-1.8092906293129154</v>
      </c>
      <c r="S12" s="17" t="s">
        <v>28</v>
      </c>
      <c r="T12" s="17">
        <v>2.7665325443786912</v>
      </c>
      <c r="U12" s="17" t="s">
        <v>28</v>
      </c>
      <c r="V12" s="17">
        <v>-1.2908163265306154</v>
      </c>
      <c r="W12" s="17" t="s">
        <v>28</v>
      </c>
      <c r="X12" s="17">
        <v>-2.1904761904761916</v>
      </c>
      <c r="Y12" s="17" t="s">
        <v>28</v>
      </c>
      <c r="Z12" s="17">
        <v>-0.50869108715194766</v>
      </c>
      <c r="AB12" s="17">
        <v>43</v>
      </c>
      <c r="AC12" s="17">
        <v>2</v>
      </c>
      <c r="AD12" s="17">
        <v>125512.82</v>
      </c>
      <c r="AE12" s="17">
        <v>62756.41</v>
      </c>
      <c r="AF12" s="17">
        <v>7876231948.8962002</v>
      </c>
      <c r="AH12" s="17" t="s">
        <v>34</v>
      </c>
      <c r="AI12" s="17">
        <v>2</v>
      </c>
      <c r="AJ12" s="17">
        <v>2</v>
      </c>
      <c r="AK12" s="17">
        <v>2</v>
      </c>
      <c r="AL12" s="17">
        <v>6</v>
      </c>
      <c r="AM12" s="6"/>
      <c r="AO12" s="17" t="s">
        <v>13</v>
      </c>
      <c r="AP12" s="17">
        <v>3</v>
      </c>
      <c r="AQ12" s="17">
        <v>113807.78</v>
      </c>
      <c r="AR12" s="17">
        <v>37935.926666666666</v>
      </c>
      <c r="AS12" s="17">
        <v>4311487943.6161327</v>
      </c>
      <c r="AX12" s="30" t="s">
        <v>68</v>
      </c>
      <c r="AY12" s="30">
        <v>29.5</v>
      </c>
      <c r="AZ12" s="30">
        <v>549</v>
      </c>
      <c r="BD12" s="28">
        <v>18</v>
      </c>
      <c r="BE12" s="28">
        <v>1</v>
      </c>
      <c r="BF12" s="28">
        <v>768</v>
      </c>
      <c r="BG12" s="28">
        <v>768</v>
      </c>
      <c r="BH12" s="28" t="e">
        <v>#DIV/0!</v>
      </c>
      <c r="BL12" s="17" t="s">
        <v>68</v>
      </c>
      <c r="BM12" s="17">
        <v>2</v>
      </c>
      <c r="BN12" s="17">
        <v>578.5</v>
      </c>
      <c r="BO12" s="17">
        <v>289.25</v>
      </c>
      <c r="BP12" s="17">
        <v>134940.125</v>
      </c>
    </row>
    <row r="13" spans="1:68" x14ac:dyDescent="0.25">
      <c r="A13" s="6">
        <v>497</v>
      </c>
      <c r="B13" s="6" t="s">
        <v>12</v>
      </c>
      <c r="C13" s="6" t="s">
        <v>13</v>
      </c>
      <c r="D13" s="6">
        <v>24</v>
      </c>
      <c r="E13" s="6">
        <v>3</v>
      </c>
      <c r="F13" s="6">
        <v>0</v>
      </c>
      <c r="G13" s="6">
        <v>2</v>
      </c>
      <c r="H13" s="6">
        <v>1</v>
      </c>
      <c r="I13" s="6">
        <v>0</v>
      </c>
      <c r="J13" s="6">
        <v>76390.009999999995</v>
      </c>
      <c r="M13" s="17" t="s">
        <v>29</v>
      </c>
      <c r="N13" s="17">
        <v>0.13716990026941314</v>
      </c>
      <c r="O13" s="17" t="s">
        <v>29</v>
      </c>
      <c r="P13" s="17">
        <v>5.3716443517344691E-2</v>
      </c>
      <c r="Q13" s="17" t="s">
        <v>29</v>
      </c>
      <c r="R13" s="17">
        <v>0.42584701503209038</v>
      </c>
      <c r="S13" s="17" t="s">
        <v>29</v>
      </c>
      <c r="T13" s="17">
        <v>1.0838435711225269</v>
      </c>
      <c r="U13" s="17" t="s">
        <v>29</v>
      </c>
      <c r="V13" s="17">
        <v>-0.910939347940806</v>
      </c>
      <c r="W13" s="17" t="s">
        <v>29</v>
      </c>
      <c r="X13" s="17">
        <v>9.3232858130720089E-2</v>
      </c>
      <c r="Y13" s="17" t="s">
        <v>29</v>
      </c>
      <c r="Z13" s="17">
        <v>8.214924960470231E-2</v>
      </c>
      <c r="AB13" s="17">
        <v>44</v>
      </c>
      <c r="AC13" s="17">
        <v>2</v>
      </c>
      <c r="AD13" s="17">
        <v>113763.78</v>
      </c>
      <c r="AE13" s="17">
        <v>56881.89</v>
      </c>
      <c r="AF13" s="17">
        <v>6469278727.4642</v>
      </c>
      <c r="AH13" s="17" t="s">
        <v>33</v>
      </c>
      <c r="AI13" s="17">
        <v>82</v>
      </c>
      <c r="AJ13" s="17">
        <v>3</v>
      </c>
      <c r="AK13" s="17">
        <v>125510.82</v>
      </c>
      <c r="AL13" s="17">
        <v>125595.82</v>
      </c>
      <c r="AM13" s="6"/>
      <c r="AO13" s="17" t="s">
        <v>13</v>
      </c>
      <c r="AP13" s="17">
        <v>3</v>
      </c>
      <c r="AQ13" s="17">
        <v>57</v>
      </c>
      <c r="AR13" s="17">
        <v>19</v>
      </c>
      <c r="AS13" s="17">
        <v>733</v>
      </c>
      <c r="BD13" s="28">
        <v>45</v>
      </c>
      <c r="BE13" s="28">
        <v>1</v>
      </c>
      <c r="BF13" s="28">
        <v>549</v>
      </c>
      <c r="BG13" s="28">
        <v>549</v>
      </c>
      <c r="BH13" s="28" t="e">
        <v>#DIV/0!</v>
      </c>
      <c r="BL13" s="17"/>
      <c r="BM13" s="17"/>
      <c r="BN13" s="17"/>
      <c r="BO13" s="17"/>
      <c r="BP13" s="17"/>
    </row>
    <row r="14" spans="1:68" x14ac:dyDescent="0.25">
      <c r="A14" s="6">
        <v>476</v>
      </c>
      <c r="B14" s="6" t="s">
        <v>10</v>
      </c>
      <c r="C14" s="6" t="s">
        <v>11</v>
      </c>
      <c r="D14" s="6">
        <v>34</v>
      </c>
      <c r="E14" s="6">
        <v>10</v>
      </c>
      <c r="F14" s="6">
        <v>0</v>
      </c>
      <c r="G14" s="6">
        <v>2</v>
      </c>
      <c r="H14" s="6">
        <v>1</v>
      </c>
      <c r="I14" s="6">
        <v>0</v>
      </c>
      <c r="J14" s="6">
        <v>26260.98</v>
      </c>
      <c r="M14" s="17" t="s">
        <v>30</v>
      </c>
      <c r="N14" s="17">
        <v>34</v>
      </c>
      <c r="O14" s="17" t="s">
        <v>30</v>
      </c>
      <c r="P14" s="17">
        <v>9</v>
      </c>
      <c r="Q14" s="17" t="s">
        <v>30</v>
      </c>
      <c r="R14" s="17">
        <v>159660.79999999999</v>
      </c>
      <c r="S14" s="17" t="s">
        <v>30</v>
      </c>
      <c r="T14" s="17">
        <v>3</v>
      </c>
      <c r="U14" s="17" t="s">
        <v>30</v>
      </c>
      <c r="V14" s="17">
        <v>1</v>
      </c>
      <c r="W14" s="17" t="s">
        <v>30</v>
      </c>
      <c r="X14" s="17">
        <v>1</v>
      </c>
      <c r="Y14" s="17" t="s">
        <v>30</v>
      </c>
      <c r="Z14" s="17">
        <v>185760.12</v>
      </c>
      <c r="AB14" s="17">
        <v>50</v>
      </c>
      <c r="AC14" s="17">
        <v>2</v>
      </c>
      <c r="AD14" s="17">
        <v>7</v>
      </c>
      <c r="AE14" s="17">
        <v>3.5</v>
      </c>
      <c r="AF14" s="17">
        <v>24.5</v>
      </c>
      <c r="AH14" s="17" t="s">
        <v>45</v>
      </c>
      <c r="AI14" s="17">
        <v>41</v>
      </c>
      <c r="AJ14" s="17">
        <v>1.5</v>
      </c>
      <c r="AK14" s="17">
        <v>62755.41</v>
      </c>
      <c r="AL14" s="17">
        <v>20932.636666666669</v>
      </c>
      <c r="AM14" s="6"/>
      <c r="AO14" s="17" t="s">
        <v>11</v>
      </c>
      <c r="AP14" s="17">
        <v>3</v>
      </c>
      <c r="AQ14" s="17">
        <v>115079.74</v>
      </c>
      <c r="AR14" s="17">
        <v>38359.913333333338</v>
      </c>
      <c r="AS14" s="17">
        <v>4410652194.4025345</v>
      </c>
      <c r="BD14" s="28">
        <v>35</v>
      </c>
      <c r="BE14" s="28">
        <v>1</v>
      </c>
      <c r="BF14" s="28">
        <v>834</v>
      </c>
      <c r="BG14" s="28">
        <v>834</v>
      </c>
      <c r="BH14" s="28" t="e">
        <v>#DIV/0!</v>
      </c>
      <c r="BL14" s="17">
        <v>78</v>
      </c>
      <c r="BM14" s="17">
        <v>6</v>
      </c>
      <c r="BN14" s="17">
        <v>206.5</v>
      </c>
      <c r="BO14" s="17">
        <v>34.416666666666664</v>
      </c>
      <c r="BP14" s="17">
        <v>490.84166666666658</v>
      </c>
    </row>
    <row r="15" spans="1:68" x14ac:dyDescent="0.25">
      <c r="A15" s="6">
        <v>549</v>
      </c>
      <c r="B15" s="6" t="s">
        <v>10</v>
      </c>
      <c r="C15" s="6" t="s">
        <v>11</v>
      </c>
      <c r="D15" s="6">
        <v>25</v>
      </c>
      <c r="E15" s="6">
        <v>5</v>
      </c>
      <c r="F15" s="6">
        <v>0</v>
      </c>
      <c r="G15" s="6">
        <v>2</v>
      </c>
      <c r="H15" s="6">
        <v>0</v>
      </c>
      <c r="I15" s="6">
        <v>0</v>
      </c>
      <c r="J15" s="6">
        <v>190857.79</v>
      </c>
      <c r="M15" s="17" t="s">
        <v>31</v>
      </c>
      <c r="N15" s="17">
        <v>24</v>
      </c>
      <c r="O15" s="17" t="s">
        <v>31</v>
      </c>
      <c r="P15" s="17">
        <v>1</v>
      </c>
      <c r="Q15" s="17" t="s">
        <v>31</v>
      </c>
      <c r="R15" s="17">
        <v>0</v>
      </c>
      <c r="S15" s="17" t="s">
        <v>31</v>
      </c>
      <c r="T15" s="17">
        <v>1</v>
      </c>
      <c r="U15" s="17" t="s">
        <v>31</v>
      </c>
      <c r="V15" s="17">
        <v>0</v>
      </c>
      <c r="W15" s="17" t="s">
        <v>31</v>
      </c>
      <c r="X15" s="17">
        <v>0</v>
      </c>
      <c r="Y15" s="17" t="s">
        <v>31</v>
      </c>
      <c r="Z15" s="17">
        <v>5097.67</v>
      </c>
      <c r="AB15" s="17">
        <v>29</v>
      </c>
      <c r="AC15" s="17">
        <v>2</v>
      </c>
      <c r="AD15" s="17">
        <v>115050.74</v>
      </c>
      <c r="AE15" s="17">
        <v>57525.37</v>
      </c>
      <c r="AF15" s="17">
        <v>6617416013.3538008</v>
      </c>
      <c r="AH15" s="17" t="s">
        <v>46</v>
      </c>
      <c r="AI15" s="17">
        <v>8</v>
      </c>
      <c r="AJ15" s="17">
        <v>0.5</v>
      </c>
      <c r="AK15" s="17">
        <v>7876482968.5362005</v>
      </c>
      <c r="AL15" s="17">
        <v>2624783529.0320668</v>
      </c>
      <c r="AM15" s="6"/>
      <c r="AO15" s="17" t="s">
        <v>13</v>
      </c>
      <c r="AP15" s="17">
        <v>3</v>
      </c>
      <c r="AQ15" s="17">
        <v>142099.07</v>
      </c>
      <c r="AR15" s="17">
        <v>47366.356666666667</v>
      </c>
      <c r="AS15" s="17">
        <v>6723896604.2616329</v>
      </c>
      <c r="AV15" t="s">
        <v>58</v>
      </c>
      <c r="BD15" s="28">
        <v>29.5</v>
      </c>
      <c r="BE15" s="28">
        <v>1</v>
      </c>
      <c r="BF15" s="28">
        <v>549</v>
      </c>
      <c r="BG15" s="28">
        <v>549</v>
      </c>
      <c r="BH15" s="28" t="e">
        <v>#DIV/0!</v>
      </c>
      <c r="BL15" s="17">
        <v>500</v>
      </c>
      <c r="BM15" s="17">
        <v>6</v>
      </c>
      <c r="BN15" s="17">
        <v>3423</v>
      </c>
      <c r="BO15" s="17">
        <v>570.5</v>
      </c>
      <c r="BP15" s="17">
        <v>43147.5</v>
      </c>
    </row>
    <row r="16" spans="1:68" x14ac:dyDescent="0.25">
      <c r="A16" s="6">
        <v>635</v>
      </c>
      <c r="B16" s="6" t="s">
        <v>12</v>
      </c>
      <c r="C16" s="6" t="s">
        <v>11</v>
      </c>
      <c r="D16" s="6">
        <v>35</v>
      </c>
      <c r="E16" s="6">
        <v>7</v>
      </c>
      <c r="F16" s="6">
        <v>0</v>
      </c>
      <c r="G16" s="6">
        <v>2</v>
      </c>
      <c r="H16" s="6">
        <v>1</v>
      </c>
      <c r="I16" s="6">
        <v>1</v>
      </c>
      <c r="J16" s="6">
        <v>65951.649999999994</v>
      </c>
      <c r="M16" s="17" t="s">
        <v>32</v>
      </c>
      <c r="N16" s="17">
        <v>58</v>
      </c>
      <c r="O16" s="17" t="s">
        <v>32</v>
      </c>
      <c r="P16" s="17">
        <v>10</v>
      </c>
      <c r="Q16" s="17" t="s">
        <v>32</v>
      </c>
      <c r="R16" s="17">
        <v>159660.79999999999</v>
      </c>
      <c r="S16" s="17" t="s">
        <v>32</v>
      </c>
      <c r="T16" s="17">
        <v>4</v>
      </c>
      <c r="U16" s="17" t="s">
        <v>32</v>
      </c>
      <c r="V16" s="17">
        <v>1</v>
      </c>
      <c r="W16" s="17" t="s">
        <v>32</v>
      </c>
      <c r="X16" s="17">
        <v>1</v>
      </c>
      <c r="Y16" s="17" t="s">
        <v>32</v>
      </c>
      <c r="Z16" s="17">
        <v>190857.79</v>
      </c>
      <c r="AB16" s="17">
        <v>44</v>
      </c>
      <c r="AC16" s="17">
        <v>2</v>
      </c>
      <c r="AD16" s="17">
        <v>142055.07</v>
      </c>
      <c r="AE16" s="17">
        <v>71027.535000000003</v>
      </c>
      <c r="AF16" s="17">
        <v>10088685047.79245</v>
      </c>
      <c r="AH16" s="17"/>
      <c r="AI16" s="17"/>
      <c r="AJ16" s="17"/>
      <c r="AK16" s="17"/>
      <c r="AL16" s="17"/>
      <c r="AM16" s="6"/>
      <c r="AO16" s="17" t="s">
        <v>13</v>
      </c>
      <c r="AP16" s="17">
        <v>3</v>
      </c>
      <c r="AQ16" s="17">
        <v>134632.88</v>
      </c>
      <c r="AR16" s="17">
        <v>44877.626666666671</v>
      </c>
      <c r="AS16" s="17">
        <v>6038100559.178133</v>
      </c>
    </row>
    <row r="17" spans="1:70" x14ac:dyDescent="0.25">
      <c r="A17" s="6">
        <v>616</v>
      </c>
      <c r="B17" s="6" t="s">
        <v>14</v>
      </c>
      <c r="C17" s="6" t="s">
        <v>13</v>
      </c>
      <c r="D17" s="6">
        <v>45</v>
      </c>
      <c r="E17" s="6">
        <v>3</v>
      </c>
      <c r="F17" s="6">
        <v>143129.41</v>
      </c>
      <c r="G17" s="6">
        <v>2</v>
      </c>
      <c r="H17" s="6">
        <v>0</v>
      </c>
      <c r="I17" s="6">
        <v>1</v>
      </c>
      <c r="J17" s="6">
        <v>64327.26</v>
      </c>
      <c r="M17" s="17" t="s">
        <v>33</v>
      </c>
      <c r="N17" s="17">
        <v>857</v>
      </c>
      <c r="O17" s="17" t="s">
        <v>33</v>
      </c>
      <c r="P17" s="17">
        <v>115</v>
      </c>
      <c r="Q17" s="17" t="s">
        <v>33</v>
      </c>
      <c r="R17" s="17">
        <v>1252185.96</v>
      </c>
      <c r="S17" s="17" t="s">
        <v>33</v>
      </c>
      <c r="T17" s="17">
        <v>42</v>
      </c>
      <c r="U17" s="17" t="s">
        <v>33</v>
      </c>
      <c r="V17" s="17">
        <v>16</v>
      </c>
      <c r="W17" s="17" t="s">
        <v>33</v>
      </c>
      <c r="X17" s="17">
        <v>11</v>
      </c>
      <c r="Y17" s="17" t="s">
        <v>33</v>
      </c>
      <c r="Z17" s="17">
        <v>2091803.2699999998</v>
      </c>
      <c r="AB17" s="17">
        <v>27</v>
      </c>
      <c r="AC17" s="17">
        <v>2</v>
      </c>
      <c r="AD17" s="17">
        <v>134605.88</v>
      </c>
      <c r="AE17" s="17">
        <v>67302.94</v>
      </c>
      <c r="AF17" s="17">
        <v>9058833049.7672005</v>
      </c>
      <c r="AH17" s="18" t="s">
        <v>13</v>
      </c>
      <c r="AI17" s="18"/>
      <c r="AJ17" s="18"/>
      <c r="AK17" s="18"/>
      <c r="AL17" s="18"/>
      <c r="AM17" s="6"/>
      <c r="AO17" s="17" t="s">
        <v>13</v>
      </c>
      <c r="AP17" s="17">
        <v>3</v>
      </c>
      <c r="AQ17" s="17">
        <v>102053.72</v>
      </c>
      <c r="AR17" s="17">
        <v>34017.906666666669</v>
      </c>
      <c r="AS17" s="17">
        <v>3467879117.3061342</v>
      </c>
      <c r="AV17" t="s">
        <v>43</v>
      </c>
      <c r="AW17">
        <v>78</v>
      </c>
      <c r="AX17">
        <v>500</v>
      </c>
      <c r="AY17" t="s">
        <v>57</v>
      </c>
    </row>
    <row r="18" spans="1:70" ht="15.75" thickBot="1" x14ac:dyDescent="0.3">
      <c r="A18" s="6">
        <v>653</v>
      </c>
      <c r="B18" s="6" t="s">
        <v>14</v>
      </c>
      <c r="C18" s="6" t="s">
        <v>13</v>
      </c>
      <c r="D18" s="6">
        <v>58</v>
      </c>
      <c r="E18" s="6">
        <v>1</v>
      </c>
      <c r="F18" s="6">
        <v>132602.88</v>
      </c>
      <c r="G18" s="6">
        <v>1</v>
      </c>
      <c r="H18" s="6">
        <v>1</v>
      </c>
      <c r="I18" s="6">
        <v>0</v>
      </c>
      <c r="J18" s="6">
        <v>5097.67</v>
      </c>
      <c r="M18" s="17" t="s">
        <v>34</v>
      </c>
      <c r="N18" s="17">
        <v>23</v>
      </c>
      <c r="O18" s="17" t="s">
        <v>34</v>
      </c>
      <c r="P18" s="17">
        <v>23</v>
      </c>
      <c r="Q18" s="17" t="s">
        <v>34</v>
      </c>
      <c r="R18" s="17">
        <v>23</v>
      </c>
      <c r="S18" s="17" t="s">
        <v>34</v>
      </c>
      <c r="T18" s="17">
        <v>23</v>
      </c>
      <c r="U18" s="17" t="s">
        <v>34</v>
      </c>
      <c r="V18" s="17">
        <v>23</v>
      </c>
      <c r="W18" s="17" t="s">
        <v>34</v>
      </c>
      <c r="X18" s="17">
        <v>23</v>
      </c>
      <c r="Y18" s="17" t="s">
        <v>34</v>
      </c>
      <c r="Z18" s="17">
        <v>23</v>
      </c>
      <c r="AB18" s="17">
        <v>31</v>
      </c>
      <c r="AC18" s="17">
        <v>2</v>
      </c>
      <c r="AD18" s="17">
        <v>102022.72</v>
      </c>
      <c r="AE18" s="17">
        <v>51011.360000000001</v>
      </c>
      <c r="AF18" s="17">
        <v>5203093497.4592009</v>
      </c>
      <c r="AH18" s="17" t="s">
        <v>34</v>
      </c>
      <c r="AI18" s="17">
        <v>2</v>
      </c>
      <c r="AJ18" s="17">
        <v>2</v>
      </c>
      <c r="AK18" s="17">
        <v>2</v>
      </c>
      <c r="AL18" s="17">
        <v>6</v>
      </c>
      <c r="AM18" s="6"/>
      <c r="AO18" s="17" t="s">
        <v>13</v>
      </c>
      <c r="AP18" s="17">
        <v>3</v>
      </c>
      <c r="AQ18" s="17">
        <v>27</v>
      </c>
      <c r="AR18" s="17">
        <v>9</v>
      </c>
      <c r="AS18" s="17">
        <v>171</v>
      </c>
      <c r="AV18" s="3" t="s">
        <v>68</v>
      </c>
      <c r="AW18" s="3"/>
      <c r="AX18" s="3"/>
      <c r="AY18" s="3"/>
      <c r="BD18" s="38" t="s">
        <v>47</v>
      </c>
      <c r="BE18" s="38"/>
      <c r="BF18" s="38"/>
      <c r="BG18" s="38"/>
      <c r="BH18" s="38"/>
      <c r="BI18" s="38"/>
      <c r="BJ18" s="38"/>
      <c r="BL18" s="37" t="s">
        <v>47</v>
      </c>
      <c r="BM18" s="37"/>
      <c r="BN18" s="37"/>
      <c r="BO18" s="37"/>
      <c r="BP18" s="37"/>
      <c r="BQ18" s="37"/>
      <c r="BR18" s="37"/>
    </row>
    <row r="19" spans="1:70" x14ac:dyDescent="0.25">
      <c r="A19" s="6">
        <v>549</v>
      </c>
      <c r="B19" s="6" t="s">
        <v>12</v>
      </c>
      <c r="C19" s="6" t="s">
        <v>11</v>
      </c>
      <c r="D19" s="6">
        <v>24</v>
      </c>
      <c r="E19" s="6">
        <v>9</v>
      </c>
      <c r="F19" s="6">
        <v>0</v>
      </c>
      <c r="G19" s="6">
        <v>2</v>
      </c>
      <c r="H19" s="6">
        <v>1</v>
      </c>
      <c r="I19" s="6">
        <v>1</v>
      </c>
      <c r="J19" s="6">
        <v>14406.41</v>
      </c>
      <c r="AB19" s="17">
        <v>24</v>
      </c>
      <c r="AC19" s="17">
        <v>2</v>
      </c>
      <c r="AD19" s="17">
        <v>3</v>
      </c>
      <c r="AE19" s="17">
        <v>1.5</v>
      </c>
      <c r="AF19" s="17">
        <v>4.5</v>
      </c>
      <c r="AH19" s="17" t="s">
        <v>33</v>
      </c>
      <c r="AI19" s="17">
        <v>94</v>
      </c>
      <c r="AJ19" s="17">
        <v>15</v>
      </c>
      <c r="AK19" s="17">
        <v>113755.78</v>
      </c>
      <c r="AL19" s="17">
        <v>113864.78</v>
      </c>
      <c r="AM19" s="6"/>
      <c r="AO19" s="17" t="s">
        <v>11</v>
      </c>
      <c r="AP19" s="17">
        <v>3</v>
      </c>
      <c r="AQ19" s="17">
        <v>44</v>
      </c>
      <c r="AR19" s="17">
        <v>14.666666666666666</v>
      </c>
      <c r="AS19" s="17">
        <v>305.33333333333331</v>
      </c>
      <c r="AV19" t="s">
        <v>34</v>
      </c>
      <c r="AW19">
        <v>3</v>
      </c>
      <c r="AX19">
        <v>3</v>
      </c>
      <c r="AY19">
        <v>6</v>
      </c>
      <c r="BD19" s="35" t="s">
        <v>48</v>
      </c>
      <c r="BE19" s="35" t="s">
        <v>49</v>
      </c>
      <c r="BF19" s="35" t="s">
        <v>50</v>
      </c>
      <c r="BG19" s="35" t="s">
        <v>51</v>
      </c>
      <c r="BH19" s="35" t="s">
        <v>52</v>
      </c>
      <c r="BI19" s="35" t="s">
        <v>53</v>
      </c>
      <c r="BJ19" s="35" t="s">
        <v>54</v>
      </c>
      <c r="BL19" s="31" t="s">
        <v>48</v>
      </c>
      <c r="BM19" s="31" t="s">
        <v>49</v>
      </c>
      <c r="BN19" s="31" t="s">
        <v>50</v>
      </c>
      <c r="BO19" s="31" t="s">
        <v>51</v>
      </c>
      <c r="BP19" s="31" t="s">
        <v>52</v>
      </c>
      <c r="BQ19" s="31" t="s">
        <v>53</v>
      </c>
      <c r="BR19" s="31" t="s">
        <v>54</v>
      </c>
    </row>
    <row r="20" spans="1:70" x14ac:dyDescent="0.25">
      <c r="A20" s="6">
        <v>587</v>
      </c>
      <c r="B20" s="6" t="s">
        <v>12</v>
      </c>
      <c r="C20" s="6" t="s">
        <v>13</v>
      </c>
      <c r="D20" s="6">
        <v>45</v>
      </c>
      <c r="E20" s="6">
        <v>6</v>
      </c>
      <c r="F20" s="6">
        <v>0</v>
      </c>
      <c r="G20" s="6">
        <v>1</v>
      </c>
      <c r="H20" s="6">
        <v>0</v>
      </c>
      <c r="I20" s="6">
        <v>0</v>
      </c>
      <c r="J20" s="6">
        <v>158684.81</v>
      </c>
      <c r="AB20" s="17">
        <v>34</v>
      </c>
      <c r="AC20" s="17">
        <v>2</v>
      </c>
      <c r="AD20" s="17">
        <v>10</v>
      </c>
      <c r="AE20" s="17">
        <v>5</v>
      </c>
      <c r="AF20" s="17">
        <v>50</v>
      </c>
      <c r="AH20" s="17" t="s">
        <v>45</v>
      </c>
      <c r="AI20" s="17">
        <v>47</v>
      </c>
      <c r="AJ20" s="17">
        <v>7.5</v>
      </c>
      <c r="AK20" s="17">
        <v>56877.89</v>
      </c>
      <c r="AL20" s="17">
        <v>18977.463333333333</v>
      </c>
      <c r="AM20" s="6"/>
      <c r="AO20" s="17" t="s">
        <v>11</v>
      </c>
      <c r="AP20" s="17">
        <v>3</v>
      </c>
      <c r="AQ20" s="17">
        <v>30</v>
      </c>
      <c r="AR20" s="17">
        <v>10</v>
      </c>
      <c r="AS20" s="17">
        <v>175</v>
      </c>
      <c r="AV20" t="s">
        <v>33</v>
      </c>
      <c r="AW20">
        <v>119</v>
      </c>
      <c r="AX20">
        <v>1491</v>
      </c>
      <c r="AY20">
        <v>1610</v>
      </c>
      <c r="BD20" s="35" t="s">
        <v>55</v>
      </c>
      <c r="BE20" s="35">
        <v>219997.71428571429</v>
      </c>
      <c r="BF20" s="35">
        <v>6</v>
      </c>
      <c r="BG20" s="35">
        <v>36666.285714285717</v>
      </c>
      <c r="BH20" s="35">
        <v>65535</v>
      </c>
      <c r="BI20" s="35" t="e">
        <v>#NUM!</v>
      </c>
      <c r="BJ20" s="35" t="e">
        <v>#NUM!</v>
      </c>
      <c r="BL20" s="32" t="s">
        <v>64</v>
      </c>
      <c r="BM20" s="32">
        <v>94273.104166666744</v>
      </c>
      <c r="BN20" s="32">
        <v>5</v>
      </c>
      <c r="BO20" s="32">
        <v>18854.620833333349</v>
      </c>
      <c r="BP20" s="32">
        <v>0.76076634982001878</v>
      </c>
      <c r="BQ20" s="32">
        <v>0.61426767349751854</v>
      </c>
      <c r="BR20" s="32">
        <v>5.0503290576326485</v>
      </c>
    </row>
    <row r="21" spans="1:70" ht="27" customHeight="1" x14ac:dyDescent="0.5">
      <c r="A21" s="6">
        <v>726</v>
      </c>
      <c r="B21" s="6" t="s">
        <v>10</v>
      </c>
      <c r="C21" s="6" t="s">
        <v>11</v>
      </c>
      <c r="D21" s="6">
        <v>24</v>
      </c>
      <c r="E21" s="6">
        <v>6</v>
      </c>
      <c r="F21" s="6">
        <v>0</v>
      </c>
      <c r="G21" s="6">
        <v>2</v>
      </c>
      <c r="H21" s="6">
        <v>1</v>
      </c>
      <c r="I21" s="6">
        <v>1</v>
      </c>
      <c r="J21" s="6">
        <v>54724.03</v>
      </c>
      <c r="O21" s="7" t="s">
        <v>67</v>
      </c>
      <c r="P21" s="8"/>
      <c r="Q21" s="8"/>
      <c r="AB21" s="17">
        <v>25</v>
      </c>
      <c r="AC21" s="17">
        <v>2</v>
      </c>
      <c r="AD21" s="17">
        <v>5</v>
      </c>
      <c r="AE21" s="17">
        <v>2.5</v>
      </c>
      <c r="AF21" s="17">
        <v>12.5</v>
      </c>
      <c r="AH21" s="17" t="s">
        <v>46</v>
      </c>
      <c r="AI21" s="17">
        <v>18</v>
      </c>
      <c r="AJ21" s="17">
        <v>0.5</v>
      </c>
      <c r="AK21" s="17">
        <v>6470188741.7041998</v>
      </c>
      <c r="AL21" s="17">
        <v>2155903469.0000663</v>
      </c>
      <c r="AM21" s="6"/>
      <c r="AO21" s="17" t="s">
        <v>11</v>
      </c>
      <c r="AP21" s="17">
        <v>3</v>
      </c>
      <c r="AQ21" s="17">
        <v>42</v>
      </c>
      <c r="AR21" s="17">
        <v>14</v>
      </c>
      <c r="AS21" s="17">
        <v>343</v>
      </c>
      <c r="AV21" t="s">
        <v>45</v>
      </c>
      <c r="AW21">
        <v>39.666666666666664</v>
      </c>
      <c r="AX21">
        <v>497</v>
      </c>
      <c r="AY21">
        <v>268.33333333333331</v>
      </c>
      <c r="BD21" s="35" t="s">
        <v>56</v>
      </c>
      <c r="BE21" s="35">
        <v>0</v>
      </c>
      <c r="BF21" s="35">
        <v>0</v>
      </c>
      <c r="BG21" s="35">
        <v>65535</v>
      </c>
      <c r="BH21" s="35"/>
      <c r="BI21" s="35"/>
      <c r="BJ21" s="35"/>
      <c r="BL21" s="32" t="s">
        <v>60</v>
      </c>
      <c r="BM21" s="32">
        <v>862156.02083333337</v>
      </c>
      <c r="BN21" s="32">
        <v>1</v>
      </c>
      <c r="BO21" s="32">
        <v>862156.02083333337</v>
      </c>
      <c r="BP21" s="32">
        <v>34.787190617228092</v>
      </c>
      <c r="BQ21" s="32">
        <v>1.9929984917732252E-3</v>
      </c>
      <c r="BR21" s="32">
        <v>6.607890973703368</v>
      </c>
    </row>
    <row r="22" spans="1:70" x14ac:dyDescent="0.25">
      <c r="A22" s="6">
        <v>732</v>
      </c>
      <c r="B22" s="6" t="s">
        <v>10</v>
      </c>
      <c r="C22" s="6" t="s">
        <v>13</v>
      </c>
      <c r="D22" s="6">
        <v>41</v>
      </c>
      <c r="E22" s="6">
        <v>8</v>
      </c>
      <c r="F22" s="6">
        <v>0</v>
      </c>
      <c r="G22" s="6">
        <v>2</v>
      </c>
      <c r="H22" s="6">
        <v>1</v>
      </c>
      <c r="I22" s="6">
        <v>1</v>
      </c>
      <c r="J22" s="6">
        <v>170886.17</v>
      </c>
      <c r="AB22" s="17">
        <v>35</v>
      </c>
      <c r="AC22" s="17">
        <v>2</v>
      </c>
      <c r="AD22" s="17">
        <v>7</v>
      </c>
      <c r="AE22" s="17">
        <v>3.5</v>
      </c>
      <c r="AF22" s="17">
        <v>24.5</v>
      </c>
      <c r="AH22" s="17"/>
      <c r="AI22" s="17"/>
      <c r="AJ22" s="17"/>
      <c r="AK22" s="17"/>
      <c r="AL22" s="17"/>
      <c r="AM22" s="6"/>
      <c r="AO22" s="17" t="s">
        <v>13</v>
      </c>
      <c r="AP22" s="17">
        <v>3</v>
      </c>
      <c r="AQ22" s="17">
        <v>143177.41</v>
      </c>
      <c r="AR22" s="17">
        <v>47725.803333333337</v>
      </c>
      <c r="AS22" s="17">
        <v>6826386564.7560329</v>
      </c>
      <c r="AV22" t="s">
        <v>46</v>
      </c>
      <c r="AW22">
        <v>1108.3333333333335</v>
      </c>
      <c r="AX22">
        <v>64587</v>
      </c>
      <c r="AY22">
        <v>89024.266666666663</v>
      </c>
      <c r="BD22" s="35"/>
      <c r="BE22" s="35"/>
      <c r="BF22" s="35"/>
      <c r="BG22" s="35"/>
      <c r="BH22" s="35"/>
      <c r="BI22" s="35"/>
      <c r="BJ22" s="35"/>
      <c r="BL22" s="32" t="s">
        <v>65</v>
      </c>
      <c r="BM22" s="32">
        <v>123918.60416666663</v>
      </c>
      <c r="BN22" s="32">
        <v>5</v>
      </c>
      <c r="BO22" s="32">
        <v>24783.720833333326</v>
      </c>
      <c r="BP22" s="32"/>
      <c r="BQ22" s="32"/>
      <c r="BR22" s="32"/>
    </row>
    <row r="23" spans="1:70" x14ac:dyDescent="0.25">
      <c r="A23" s="6">
        <v>636</v>
      </c>
      <c r="B23" s="6" t="s">
        <v>12</v>
      </c>
      <c r="C23" s="6" t="s">
        <v>11</v>
      </c>
      <c r="D23" s="6">
        <v>32</v>
      </c>
      <c r="E23" s="6">
        <v>8</v>
      </c>
      <c r="F23" s="6">
        <v>0</v>
      </c>
      <c r="G23" s="6">
        <v>2</v>
      </c>
      <c r="H23" s="6">
        <v>1</v>
      </c>
      <c r="I23" s="6">
        <v>0</v>
      </c>
      <c r="J23" s="6">
        <v>138555.46</v>
      </c>
      <c r="N23" s="40"/>
      <c r="O23" s="40" t="s">
        <v>3</v>
      </c>
      <c r="P23" s="40" t="s">
        <v>4</v>
      </c>
      <c r="Q23" s="40" t="s">
        <v>5</v>
      </c>
      <c r="R23" s="40" t="s">
        <v>6</v>
      </c>
      <c r="S23" s="40" t="s">
        <v>7</v>
      </c>
      <c r="T23" s="40" t="s">
        <v>8</v>
      </c>
      <c r="AB23" s="17">
        <v>45</v>
      </c>
      <c r="AC23" s="17">
        <v>2</v>
      </c>
      <c r="AD23" s="17">
        <v>143132.41</v>
      </c>
      <c r="AE23" s="17">
        <v>71566.205000000002</v>
      </c>
      <c r="AF23" s="17">
        <v>10242584619.744051</v>
      </c>
      <c r="AH23" s="18" t="s">
        <v>11</v>
      </c>
      <c r="AI23" s="18"/>
      <c r="AJ23" s="18"/>
      <c r="AK23" s="18"/>
      <c r="AL23" s="18"/>
      <c r="AM23" s="6"/>
      <c r="AO23" s="17" t="s">
        <v>13</v>
      </c>
      <c r="AP23" s="17">
        <v>3</v>
      </c>
      <c r="AQ23" s="17">
        <v>132661.88</v>
      </c>
      <c r="AR23" s="17">
        <v>44220.626666666671</v>
      </c>
      <c r="AS23" s="17">
        <v>5858567840.4581356</v>
      </c>
      <c r="BD23" s="35" t="s">
        <v>57</v>
      </c>
      <c r="BE23" s="35">
        <v>219997.71428571429</v>
      </c>
      <c r="BF23" s="35">
        <v>6</v>
      </c>
      <c r="BG23" s="35"/>
      <c r="BH23" s="35"/>
      <c r="BI23" s="35"/>
      <c r="BJ23" s="35"/>
      <c r="BL23" s="32"/>
      <c r="BM23" s="32"/>
      <c r="BN23" s="32"/>
      <c r="BO23" s="32"/>
      <c r="BP23" s="32"/>
      <c r="BQ23" s="32"/>
      <c r="BR23" s="32"/>
    </row>
    <row r="24" spans="1:70" ht="15.75" thickBot="1" x14ac:dyDescent="0.3">
      <c r="A24" s="6">
        <v>510</v>
      </c>
      <c r="B24" s="6" t="s">
        <v>12</v>
      </c>
      <c r="C24" s="6" t="s">
        <v>11</v>
      </c>
      <c r="D24" s="6">
        <v>38</v>
      </c>
      <c r="E24" s="6">
        <v>4</v>
      </c>
      <c r="F24" s="6">
        <v>0</v>
      </c>
      <c r="G24" s="6">
        <v>1</v>
      </c>
      <c r="H24" s="6">
        <v>1</v>
      </c>
      <c r="I24" s="6">
        <v>0</v>
      </c>
      <c r="J24" s="6">
        <v>118913.53</v>
      </c>
      <c r="N24" s="39" t="s">
        <v>3</v>
      </c>
      <c r="O24" s="17">
        <v>1</v>
      </c>
      <c r="P24" s="17"/>
      <c r="Q24" s="17"/>
      <c r="R24" s="17"/>
      <c r="S24" s="17"/>
      <c r="T24" s="17"/>
      <c r="AB24" s="17">
        <v>58</v>
      </c>
      <c r="AC24" s="17">
        <v>2</v>
      </c>
      <c r="AD24" s="17">
        <v>132603.88</v>
      </c>
      <c r="AE24" s="17">
        <v>66301.94</v>
      </c>
      <c r="AF24" s="17">
        <v>8791629289.7672024</v>
      </c>
      <c r="AH24" s="17" t="s">
        <v>34</v>
      </c>
      <c r="AI24" s="17">
        <v>2</v>
      </c>
      <c r="AJ24" s="17">
        <v>2</v>
      </c>
      <c r="AK24" s="17">
        <v>2</v>
      </c>
      <c r="AL24" s="17">
        <v>6</v>
      </c>
      <c r="AM24" s="6"/>
      <c r="AO24" s="17" t="s">
        <v>11</v>
      </c>
      <c r="AP24" s="17">
        <v>3</v>
      </c>
      <c r="AQ24" s="17">
        <v>33</v>
      </c>
      <c r="AR24" s="17">
        <v>11</v>
      </c>
      <c r="AS24" s="17">
        <v>147</v>
      </c>
      <c r="AV24" s="3" t="s">
        <v>70</v>
      </c>
      <c r="AW24" s="3"/>
      <c r="AX24" s="3"/>
      <c r="AY24" s="3"/>
      <c r="BL24" s="32" t="s">
        <v>57</v>
      </c>
      <c r="BM24" s="32">
        <v>1080347.7291666667</v>
      </c>
      <c r="BN24" s="32">
        <v>11</v>
      </c>
      <c r="BO24" s="32"/>
      <c r="BP24" s="32"/>
      <c r="BQ24" s="32"/>
      <c r="BR24" s="32"/>
    </row>
    <row r="25" spans="1:70" x14ac:dyDescent="0.25">
      <c r="A25" s="6">
        <v>669</v>
      </c>
      <c r="B25" s="6" t="s">
        <v>10</v>
      </c>
      <c r="C25" s="6" t="s">
        <v>13</v>
      </c>
      <c r="D25" s="6">
        <v>46</v>
      </c>
      <c r="E25" s="6">
        <v>3</v>
      </c>
      <c r="F25" s="6">
        <v>0</v>
      </c>
      <c r="G25" s="6">
        <v>2</v>
      </c>
      <c r="H25" s="6">
        <v>0</v>
      </c>
      <c r="I25" s="6">
        <v>1</v>
      </c>
      <c r="J25" s="6">
        <v>8487.75</v>
      </c>
      <c r="N25" s="39" t="s">
        <v>4</v>
      </c>
      <c r="O25" s="17">
        <v>-0.21876612523431571</v>
      </c>
      <c r="P25" s="17">
        <v>1</v>
      </c>
      <c r="Q25" s="17"/>
      <c r="R25" s="17"/>
      <c r="S25" s="17"/>
      <c r="T25" s="17"/>
      <c r="AB25" s="17">
        <v>24</v>
      </c>
      <c r="AC25" s="17">
        <v>2</v>
      </c>
      <c r="AD25" s="17">
        <v>9</v>
      </c>
      <c r="AE25" s="17">
        <v>4.5</v>
      </c>
      <c r="AF25" s="17">
        <v>40.5</v>
      </c>
      <c r="AH25" s="17" t="s">
        <v>33</v>
      </c>
      <c r="AI25" s="17">
        <v>73</v>
      </c>
      <c r="AJ25" s="17">
        <v>8</v>
      </c>
      <c r="AK25" s="17">
        <v>257097.81</v>
      </c>
      <c r="AL25" s="17">
        <v>257178.81</v>
      </c>
      <c r="AM25" s="6"/>
      <c r="AO25" s="17" t="s">
        <v>13</v>
      </c>
      <c r="AP25" s="17">
        <v>3</v>
      </c>
      <c r="AQ25" s="17">
        <v>51</v>
      </c>
      <c r="AR25" s="17">
        <v>17</v>
      </c>
      <c r="AS25" s="17">
        <v>597</v>
      </c>
      <c r="AV25" t="s">
        <v>34</v>
      </c>
      <c r="AW25">
        <v>3</v>
      </c>
      <c r="AX25">
        <v>3</v>
      </c>
      <c r="AY25">
        <v>6</v>
      </c>
    </row>
    <row r="26" spans="1:70" ht="23.25" x14ac:dyDescent="0.35">
      <c r="N26" s="39" t="s">
        <v>5</v>
      </c>
      <c r="O26" s="17">
        <v>0.33582501427650507</v>
      </c>
      <c r="P26" s="17">
        <v>-0.3149058779960906</v>
      </c>
      <c r="Q26" s="17">
        <v>1</v>
      </c>
      <c r="R26" s="17"/>
      <c r="S26" s="17"/>
      <c r="T26" s="17"/>
      <c r="AB26" s="17">
        <v>45</v>
      </c>
      <c r="AC26" s="17">
        <v>2</v>
      </c>
      <c r="AD26" s="17">
        <v>6</v>
      </c>
      <c r="AE26" s="17">
        <v>3</v>
      </c>
      <c r="AF26" s="17">
        <v>18</v>
      </c>
      <c r="AH26" s="17" t="s">
        <v>45</v>
      </c>
      <c r="AI26" s="17">
        <v>36.5</v>
      </c>
      <c r="AJ26" s="17">
        <v>4</v>
      </c>
      <c r="AK26" s="17">
        <v>128548.905</v>
      </c>
      <c r="AL26" s="17">
        <v>42863.135000000002</v>
      </c>
      <c r="AM26" s="6"/>
      <c r="AO26" s="17" t="s">
        <v>11</v>
      </c>
      <c r="AP26" s="17">
        <v>3</v>
      </c>
      <c r="AQ26" s="17">
        <v>30</v>
      </c>
      <c r="AR26" s="17">
        <v>10</v>
      </c>
      <c r="AS26" s="17">
        <v>156</v>
      </c>
      <c r="AV26" t="s">
        <v>33</v>
      </c>
      <c r="AW26">
        <v>87.5</v>
      </c>
      <c r="AX26">
        <v>1932</v>
      </c>
      <c r="AY26">
        <v>2019.5</v>
      </c>
      <c r="BC26" s="24" t="s">
        <v>67</v>
      </c>
      <c r="BD26" s="25"/>
    </row>
    <row r="27" spans="1:70" x14ac:dyDescent="0.25">
      <c r="N27" s="39" t="s">
        <v>6</v>
      </c>
      <c r="O27" s="17">
        <v>-0.31117375486341514</v>
      </c>
      <c r="P27" s="17">
        <v>0.40585894767904351</v>
      </c>
      <c r="Q27" s="17">
        <v>0.12773263653600078</v>
      </c>
      <c r="R27" s="17">
        <v>1</v>
      </c>
      <c r="S27" s="17"/>
      <c r="T27" s="17"/>
      <c r="AB27" s="17">
        <v>24</v>
      </c>
      <c r="AC27" s="17">
        <v>2</v>
      </c>
      <c r="AD27" s="17">
        <v>6</v>
      </c>
      <c r="AE27" s="17">
        <v>3</v>
      </c>
      <c r="AF27" s="17">
        <v>18</v>
      </c>
      <c r="AH27" s="17" t="s">
        <v>46</v>
      </c>
      <c r="AI27" s="17">
        <v>112.5</v>
      </c>
      <c r="AJ27" s="17">
        <v>0</v>
      </c>
      <c r="AK27" s="17">
        <v>364616919.3744545</v>
      </c>
      <c r="AL27" s="17">
        <v>4478154325.9206305</v>
      </c>
      <c r="AM27" s="6"/>
      <c r="AO27" s="17" t="s">
        <v>13</v>
      </c>
      <c r="AP27" s="17">
        <v>3</v>
      </c>
      <c r="AQ27" s="17">
        <v>49</v>
      </c>
      <c r="AR27" s="17">
        <v>16.333333333333332</v>
      </c>
      <c r="AS27" s="17">
        <v>472.33333333333331</v>
      </c>
      <c r="AV27" t="s">
        <v>45</v>
      </c>
      <c r="AW27">
        <v>29.166666666666668</v>
      </c>
      <c r="AX27">
        <v>644</v>
      </c>
      <c r="AY27">
        <v>336.58333333333331</v>
      </c>
    </row>
    <row r="28" spans="1:70" x14ac:dyDescent="0.25">
      <c r="N28" s="39" t="s">
        <v>7</v>
      </c>
      <c r="O28" s="17">
        <v>-9.6748121117186808E-2</v>
      </c>
      <c r="P28" s="17">
        <v>0.30918811529616408</v>
      </c>
      <c r="Q28" s="17">
        <v>-0.13356448240170024</v>
      </c>
      <c r="R28" s="17">
        <v>0.10548162696116151</v>
      </c>
      <c r="S28" s="17">
        <v>1</v>
      </c>
      <c r="T28" s="17"/>
      <c r="AB28" s="17">
        <v>41</v>
      </c>
      <c r="AC28" s="17">
        <v>2</v>
      </c>
      <c r="AD28" s="17">
        <v>8</v>
      </c>
      <c r="AE28" s="17">
        <v>4</v>
      </c>
      <c r="AF28" s="17">
        <v>32</v>
      </c>
      <c r="AH28" s="17"/>
      <c r="AI28" s="17"/>
      <c r="AJ28" s="17"/>
      <c r="AK28" s="17"/>
      <c r="AL28" s="17"/>
      <c r="AM28" s="6"/>
      <c r="AO28" s="17" t="s">
        <v>11</v>
      </c>
      <c r="AP28" s="17">
        <v>3</v>
      </c>
      <c r="AQ28" s="17">
        <v>40</v>
      </c>
      <c r="AR28" s="17">
        <v>13.333333333333334</v>
      </c>
      <c r="AS28" s="17">
        <v>277.33333333333331</v>
      </c>
      <c r="AV28" t="s">
        <v>46</v>
      </c>
      <c r="AW28">
        <v>36.083333333333258</v>
      </c>
      <c r="AX28">
        <v>27075</v>
      </c>
      <c r="AY28">
        <v>124250.44166666668</v>
      </c>
      <c r="BC28" s="41"/>
      <c r="BD28" s="41" t="s">
        <v>35</v>
      </c>
      <c r="BE28" s="41" t="s">
        <v>36</v>
      </c>
    </row>
    <row r="29" spans="1:70" x14ac:dyDescent="0.25">
      <c r="N29" s="39" t="s">
        <v>8</v>
      </c>
      <c r="O29" s="17">
        <v>5.955267071059165E-2</v>
      </c>
      <c r="P29" s="17">
        <v>-0.12657919214610616</v>
      </c>
      <c r="Q29" s="17">
        <v>4.137031864506098E-2</v>
      </c>
      <c r="R29" s="17">
        <v>-0.25910011025251817</v>
      </c>
      <c r="S29" s="17">
        <v>6.5795169495976955E-2</v>
      </c>
      <c r="T29" s="17">
        <v>1</v>
      </c>
      <c r="AB29" s="17">
        <v>32</v>
      </c>
      <c r="AC29" s="17">
        <v>2</v>
      </c>
      <c r="AD29" s="17">
        <v>8</v>
      </c>
      <c r="AE29" s="17">
        <v>4</v>
      </c>
      <c r="AF29" s="17">
        <v>32</v>
      </c>
      <c r="AH29" s="18" t="s">
        <v>13</v>
      </c>
      <c r="AI29" s="18"/>
      <c r="AJ29" s="18"/>
      <c r="AK29" s="18"/>
      <c r="AL29" s="18"/>
      <c r="AM29" s="6"/>
      <c r="AO29" s="17"/>
      <c r="AP29" s="17"/>
      <c r="AQ29" s="17"/>
      <c r="AR29" s="17"/>
      <c r="AS29" s="17"/>
      <c r="BC29" s="6" t="s">
        <v>35</v>
      </c>
      <c r="BD29" s="6">
        <v>1</v>
      </c>
      <c r="BE29" s="6"/>
    </row>
    <row r="30" spans="1:70" ht="15.75" thickBot="1" x14ac:dyDescent="0.3">
      <c r="AB30" s="17">
        <v>38</v>
      </c>
      <c r="AC30" s="17">
        <v>2</v>
      </c>
      <c r="AD30" s="17">
        <v>4</v>
      </c>
      <c r="AE30" s="17">
        <v>2</v>
      </c>
      <c r="AF30" s="17">
        <v>8</v>
      </c>
      <c r="AH30" s="17" t="s">
        <v>34</v>
      </c>
      <c r="AI30" s="17">
        <v>2</v>
      </c>
      <c r="AJ30" s="17">
        <v>2</v>
      </c>
      <c r="AK30" s="17">
        <v>2</v>
      </c>
      <c r="AL30" s="17">
        <v>6</v>
      </c>
      <c r="AM30" s="6"/>
      <c r="AO30" s="17">
        <v>42</v>
      </c>
      <c r="AP30" s="17">
        <v>21</v>
      </c>
      <c r="AQ30" s="17">
        <v>777</v>
      </c>
      <c r="AR30" s="17">
        <v>37</v>
      </c>
      <c r="AS30" s="17">
        <v>91.1</v>
      </c>
      <c r="AV30" s="3" t="s">
        <v>57</v>
      </c>
      <c r="AW30" s="3"/>
      <c r="AX30" s="3"/>
      <c r="AY30" s="3"/>
      <c r="BC30" s="6" t="s">
        <v>36</v>
      </c>
      <c r="BD30" s="6">
        <v>-0.58249313770695077</v>
      </c>
      <c r="BE30" s="6">
        <v>1</v>
      </c>
    </row>
    <row r="31" spans="1:70" x14ac:dyDescent="0.25">
      <c r="AB31" s="17">
        <v>46</v>
      </c>
      <c r="AC31" s="17">
        <v>2</v>
      </c>
      <c r="AD31" s="17">
        <v>3</v>
      </c>
      <c r="AE31" s="17">
        <v>1.5</v>
      </c>
      <c r="AF31" s="17">
        <v>4.5</v>
      </c>
      <c r="AH31" s="17" t="s">
        <v>33</v>
      </c>
      <c r="AI31" s="17">
        <v>58</v>
      </c>
      <c r="AJ31" s="17">
        <v>8</v>
      </c>
      <c r="AK31" s="17">
        <v>236620.6</v>
      </c>
      <c r="AL31" s="17">
        <v>236686.6</v>
      </c>
      <c r="AM31" s="6"/>
      <c r="AO31" s="17">
        <v>2</v>
      </c>
      <c r="AP31" s="17">
        <v>21</v>
      </c>
      <c r="AQ31" s="17">
        <v>109</v>
      </c>
      <c r="AR31" s="17">
        <v>5.1904761904761907</v>
      </c>
      <c r="AS31" s="17">
        <v>8.1619047619047596</v>
      </c>
      <c r="AV31" t="s">
        <v>34</v>
      </c>
      <c r="AW31">
        <v>6</v>
      </c>
      <c r="AX31">
        <v>6</v>
      </c>
    </row>
    <row r="32" spans="1:70" x14ac:dyDescent="0.25">
      <c r="AH32" s="17" t="s">
        <v>45</v>
      </c>
      <c r="AI32" s="17">
        <v>29</v>
      </c>
      <c r="AJ32" s="17">
        <v>4</v>
      </c>
      <c r="AK32" s="17">
        <v>118310.3</v>
      </c>
      <c r="AL32" s="17">
        <v>39447.76666666667</v>
      </c>
      <c r="AM32" s="6"/>
      <c r="AO32" s="17">
        <v>0</v>
      </c>
      <c r="AP32" s="17">
        <v>21</v>
      </c>
      <c r="AQ32" s="17">
        <v>1252185.96</v>
      </c>
      <c r="AR32" s="17">
        <v>59627.902857142857</v>
      </c>
      <c r="AS32" s="17">
        <v>4327643771.3785009</v>
      </c>
      <c r="AV32" t="s">
        <v>33</v>
      </c>
      <c r="AW32">
        <v>206.5</v>
      </c>
      <c r="AX32">
        <v>3423</v>
      </c>
    </row>
    <row r="33" spans="27:54" x14ac:dyDescent="0.25">
      <c r="AH33" s="17" t="s">
        <v>46</v>
      </c>
      <c r="AI33" s="17">
        <v>8</v>
      </c>
      <c r="AJ33" s="17">
        <v>8</v>
      </c>
      <c r="AK33" s="17">
        <v>530961498.43280029</v>
      </c>
      <c r="AL33" s="17">
        <v>3837771926.1372271</v>
      </c>
      <c r="AM33" s="6"/>
      <c r="AV33" t="s">
        <v>45</v>
      </c>
      <c r="AW33">
        <v>34.416666666666664</v>
      </c>
      <c r="AX33">
        <v>570.5</v>
      </c>
    </row>
    <row r="34" spans="27:54" x14ac:dyDescent="0.25">
      <c r="AA34" s="17" t="s">
        <v>47</v>
      </c>
      <c r="AB34" s="17"/>
      <c r="AC34" s="17"/>
      <c r="AD34" s="17"/>
      <c r="AE34" s="17"/>
      <c r="AF34" s="17"/>
      <c r="AG34" s="16"/>
      <c r="AH34" s="17"/>
      <c r="AI34" s="17"/>
      <c r="AJ34" s="17"/>
      <c r="AK34" s="17"/>
      <c r="AL34" s="17"/>
      <c r="AM34" s="6"/>
      <c r="AV34" t="s">
        <v>46</v>
      </c>
      <c r="AW34">
        <v>490.84166666666658</v>
      </c>
      <c r="AX34">
        <v>43147.5</v>
      </c>
    </row>
    <row r="35" spans="27:54" x14ac:dyDescent="0.25">
      <c r="AA35" s="16" t="s">
        <v>48</v>
      </c>
      <c r="AB35" s="16" t="s">
        <v>49</v>
      </c>
      <c r="AC35" s="16" t="s">
        <v>50</v>
      </c>
      <c r="AD35" s="16" t="s">
        <v>51</v>
      </c>
      <c r="AE35" s="16" t="s">
        <v>52</v>
      </c>
      <c r="AF35" s="16" t="s">
        <v>53</v>
      </c>
      <c r="AG35" s="16" t="s">
        <v>54</v>
      </c>
      <c r="AH35" s="18" t="s">
        <v>13</v>
      </c>
      <c r="AI35" s="18"/>
      <c r="AJ35" s="18"/>
      <c r="AK35" s="18"/>
      <c r="AL35" s="18"/>
      <c r="AM35" s="6"/>
      <c r="AO35" s="6" t="s">
        <v>47</v>
      </c>
      <c r="AP35" s="6"/>
      <c r="AQ35" s="6"/>
      <c r="AR35" s="6"/>
      <c r="AS35" s="6"/>
      <c r="AT35" s="6"/>
      <c r="AU35" s="26"/>
    </row>
    <row r="36" spans="27:54" x14ac:dyDescent="0.25">
      <c r="AA36" s="17" t="s">
        <v>55</v>
      </c>
      <c r="AB36" s="17">
        <v>47941851498.174042</v>
      </c>
      <c r="AC36" s="17">
        <v>23</v>
      </c>
      <c r="AD36" s="17">
        <v>2084428326.0075669</v>
      </c>
      <c r="AE36" s="17">
        <v>0.62064221747201065</v>
      </c>
      <c r="AF36" s="17">
        <v>0.87150939833747898</v>
      </c>
      <c r="AG36" s="17">
        <v>1.9932391349590068</v>
      </c>
      <c r="AH36" s="17" t="s">
        <v>34</v>
      </c>
      <c r="AI36" s="17">
        <v>2</v>
      </c>
      <c r="AJ36" s="17">
        <v>2</v>
      </c>
      <c r="AK36" s="17">
        <v>2</v>
      </c>
      <c r="AL36" s="17">
        <v>6</v>
      </c>
      <c r="AM36" s="6"/>
      <c r="AO36" s="16" t="s">
        <v>48</v>
      </c>
      <c r="AP36" s="16" t="s">
        <v>49</v>
      </c>
      <c r="AQ36" s="16" t="s">
        <v>50</v>
      </c>
      <c r="AR36" s="16" t="s">
        <v>51</v>
      </c>
      <c r="AS36" s="16" t="s">
        <v>52</v>
      </c>
      <c r="AT36" s="16" t="s">
        <v>53</v>
      </c>
      <c r="AU36" s="27" t="s">
        <v>54</v>
      </c>
    </row>
    <row r="37" spans="27:54" ht="15.75" thickBot="1" x14ac:dyDescent="0.3">
      <c r="AA37" s="17" t="s">
        <v>56</v>
      </c>
      <c r="AB37" s="17">
        <v>80604055631.194092</v>
      </c>
      <c r="AC37" s="17">
        <v>24</v>
      </c>
      <c r="AD37" s="17">
        <v>3358502317.9664207</v>
      </c>
      <c r="AE37" s="17"/>
      <c r="AF37" s="17"/>
      <c r="AG37" s="17"/>
      <c r="AH37" s="17" t="s">
        <v>33</v>
      </c>
      <c r="AI37" s="17">
        <v>58</v>
      </c>
      <c r="AJ37" s="17">
        <v>13</v>
      </c>
      <c r="AK37" s="17">
        <v>0</v>
      </c>
      <c r="AL37" s="17">
        <v>71</v>
      </c>
      <c r="AM37" s="6"/>
      <c r="AO37" s="17" t="s">
        <v>64</v>
      </c>
      <c r="AP37" s="17">
        <v>28853107627.061737</v>
      </c>
      <c r="AQ37" s="17">
        <v>20</v>
      </c>
      <c r="AR37" s="17">
        <v>1442655381.3530869</v>
      </c>
      <c r="AS37" s="17">
        <v>1.0001117070033552</v>
      </c>
      <c r="AT37" s="17">
        <v>0.48263549051320315</v>
      </c>
      <c r="AU37" s="26">
        <v>1.8388593490242173</v>
      </c>
      <c r="AV37" t="s">
        <v>47</v>
      </c>
    </row>
    <row r="38" spans="27:54" x14ac:dyDescent="0.25">
      <c r="AA38" s="17"/>
      <c r="AB38" s="17"/>
      <c r="AC38" s="17"/>
      <c r="AD38" s="17"/>
      <c r="AE38" s="17"/>
      <c r="AF38" s="17"/>
      <c r="AG38" s="17"/>
      <c r="AH38" s="17" t="s">
        <v>45</v>
      </c>
      <c r="AI38" s="17">
        <v>29</v>
      </c>
      <c r="AJ38" s="17">
        <v>6.5</v>
      </c>
      <c r="AK38" s="17">
        <v>0</v>
      </c>
      <c r="AL38" s="17">
        <v>11.833333333333334</v>
      </c>
      <c r="AM38" s="6"/>
      <c r="AO38" s="17" t="s">
        <v>60</v>
      </c>
      <c r="AP38" s="17">
        <v>49741611827.859039</v>
      </c>
      <c r="AQ38" s="17">
        <v>2</v>
      </c>
      <c r="AR38" s="17">
        <v>24870805913.92952</v>
      </c>
      <c r="AS38" s="17">
        <v>17.241528696756326</v>
      </c>
      <c r="AT38" s="17">
        <v>3.9815293350754377E-6</v>
      </c>
      <c r="AU38" s="26">
        <v>3.2317269928308443</v>
      </c>
      <c r="AV38" s="2" t="s">
        <v>48</v>
      </c>
      <c r="AW38" s="2" t="s">
        <v>49</v>
      </c>
      <c r="AX38" s="2" t="s">
        <v>50</v>
      </c>
      <c r="AY38" s="2" t="s">
        <v>51</v>
      </c>
      <c r="AZ38" s="2" t="s">
        <v>52</v>
      </c>
      <c r="BA38" s="2" t="s">
        <v>53</v>
      </c>
      <c r="BB38" s="2" t="s">
        <v>54</v>
      </c>
    </row>
    <row r="39" spans="27:54" x14ac:dyDescent="0.25">
      <c r="AA39" s="17" t="s">
        <v>57</v>
      </c>
      <c r="AB39" s="17">
        <v>128545907129.36813</v>
      </c>
      <c r="AC39" s="17">
        <v>47</v>
      </c>
      <c r="AD39" s="17"/>
      <c r="AE39" s="17"/>
      <c r="AF39" s="17"/>
      <c r="AG39" s="17"/>
      <c r="AH39" s="17" t="s">
        <v>46</v>
      </c>
      <c r="AI39" s="17">
        <v>50</v>
      </c>
      <c r="AJ39" s="17">
        <v>24.5</v>
      </c>
      <c r="AK39" s="17">
        <v>0</v>
      </c>
      <c r="AL39" s="17">
        <v>200.16666666666669</v>
      </c>
      <c r="AM39" s="6"/>
      <c r="AO39" s="17" t="s">
        <v>65</v>
      </c>
      <c r="AP39" s="17">
        <v>57699769785.746429</v>
      </c>
      <c r="AQ39" s="17">
        <v>40</v>
      </c>
      <c r="AR39" s="17">
        <v>1442494244.6436608</v>
      </c>
      <c r="AS39" s="17"/>
      <c r="AT39" s="17"/>
      <c r="AU39" s="26"/>
      <c r="AV39" t="s">
        <v>59</v>
      </c>
      <c r="AW39">
        <v>13974.1875</v>
      </c>
      <c r="AX39">
        <v>1</v>
      </c>
      <c r="AY39">
        <v>13974.1875</v>
      </c>
      <c r="AZ39">
        <v>0.60229402241403918</v>
      </c>
      <c r="BA39">
        <v>0.460030200825014</v>
      </c>
      <c r="BB39">
        <v>5.3176550715787174</v>
      </c>
    </row>
    <row r="40" spans="27:54" x14ac:dyDescent="0.25">
      <c r="AH40" s="17"/>
      <c r="AI40" s="17"/>
      <c r="AJ40" s="17"/>
      <c r="AK40" s="17"/>
      <c r="AL40" s="17"/>
      <c r="AM40" s="6"/>
      <c r="AO40" s="17"/>
      <c r="AP40" s="17"/>
      <c r="AQ40" s="17"/>
      <c r="AR40" s="17"/>
      <c r="AS40" s="17"/>
      <c r="AT40" s="17"/>
      <c r="AU40" s="26"/>
      <c r="AV40" t="s">
        <v>60</v>
      </c>
      <c r="AW40">
        <v>862156.02083333337</v>
      </c>
      <c r="AX40">
        <v>1</v>
      </c>
      <c r="AY40">
        <v>862156.02083333337</v>
      </c>
      <c r="AZ40">
        <v>37.159328063702489</v>
      </c>
      <c r="BA40">
        <v>2.9079960122712229E-4</v>
      </c>
      <c r="BB40">
        <v>5.3176550715787174</v>
      </c>
    </row>
    <row r="41" spans="27:54" x14ac:dyDescent="0.25">
      <c r="AH41" s="18" t="s">
        <v>11</v>
      </c>
      <c r="AI41" s="18"/>
      <c r="AJ41" s="18"/>
      <c r="AK41" s="18"/>
      <c r="AL41" s="18"/>
      <c r="AM41" s="6"/>
      <c r="AO41" s="17" t="s">
        <v>57</v>
      </c>
      <c r="AP41" s="17">
        <v>136294489240.66721</v>
      </c>
      <c r="AQ41" s="17">
        <v>62</v>
      </c>
      <c r="AR41" s="17"/>
      <c r="AS41" s="17"/>
      <c r="AT41" s="17"/>
      <c r="AU41" s="26"/>
      <c r="AV41" t="s">
        <v>61</v>
      </c>
      <c r="AW41">
        <v>18604.687500000029</v>
      </c>
      <c r="AX41">
        <v>1</v>
      </c>
      <c r="AY41">
        <v>18604.687500000029</v>
      </c>
      <c r="AZ41">
        <v>0.80187073990034929</v>
      </c>
      <c r="BA41">
        <v>0.39667768653523761</v>
      </c>
      <c r="BB41">
        <v>5.3176550715787174</v>
      </c>
    </row>
    <row r="42" spans="27:54" x14ac:dyDescent="0.25">
      <c r="AH42" s="17" t="s">
        <v>34</v>
      </c>
      <c r="AI42" s="17">
        <v>2</v>
      </c>
      <c r="AJ42" s="17">
        <v>2</v>
      </c>
      <c r="AK42" s="17">
        <v>2</v>
      </c>
      <c r="AL42" s="17">
        <v>6</v>
      </c>
      <c r="AM42" s="6"/>
      <c r="AV42" t="s">
        <v>62</v>
      </c>
      <c r="AW42">
        <v>185612.83333333334</v>
      </c>
      <c r="AX42">
        <v>8</v>
      </c>
      <c r="AY42">
        <v>23201.604166666668</v>
      </c>
    </row>
    <row r="43" spans="27:54" x14ac:dyDescent="0.25">
      <c r="AH43" s="17" t="s">
        <v>33</v>
      </c>
      <c r="AI43" s="17">
        <v>60</v>
      </c>
      <c r="AJ43" s="17">
        <v>12</v>
      </c>
      <c r="AK43" s="17">
        <v>0</v>
      </c>
      <c r="AL43" s="17">
        <v>72</v>
      </c>
      <c r="AM43" s="6"/>
    </row>
    <row r="44" spans="27:54" ht="15.75" thickBot="1" x14ac:dyDescent="0.3">
      <c r="AH44" s="17" t="s">
        <v>45</v>
      </c>
      <c r="AI44" s="17">
        <v>30</v>
      </c>
      <c r="AJ44" s="17">
        <v>6</v>
      </c>
      <c r="AK44" s="17">
        <v>0</v>
      </c>
      <c r="AL44" s="17">
        <v>12</v>
      </c>
      <c r="AM44" s="6"/>
      <c r="AV44" s="1" t="s">
        <v>57</v>
      </c>
      <c r="AW44" s="1">
        <v>1080347.7291666667</v>
      </c>
      <c r="AX44" s="1">
        <v>11</v>
      </c>
      <c r="AY44" s="1"/>
      <c r="AZ44" s="1"/>
      <c r="BA44" s="1"/>
      <c r="BB44" s="1"/>
    </row>
    <row r="45" spans="27:54" x14ac:dyDescent="0.25">
      <c r="AH45" s="17" t="s">
        <v>46</v>
      </c>
      <c r="AI45" s="17">
        <v>50</v>
      </c>
      <c r="AJ45" s="17">
        <v>2</v>
      </c>
      <c r="AK45" s="17">
        <v>0</v>
      </c>
      <c r="AL45" s="17">
        <v>212</v>
      </c>
      <c r="AM45" s="6"/>
      <c r="AV45" t="s">
        <v>45</v>
      </c>
      <c r="AW45">
        <v>35</v>
      </c>
      <c r="AX45">
        <v>834</v>
      </c>
      <c r="AY45">
        <v>434.5</v>
      </c>
    </row>
    <row r="46" spans="27:54" x14ac:dyDescent="0.25">
      <c r="AH46" s="17"/>
      <c r="AI46" s="17"/>
      <c r="AJ46" s="17"/>
      <c r="AK46" s="17"/>
      <c r="AL46" s="17"/>
      <c r="AM46" s="6"/>
      <c r="AV46" t="s">
        <v>46</v>
      </c>
      <c r="AW46" t="e">
        <v>#DIV/0!</v>
      </c>
      <c r="AX46" t="e">
        <v>#DIV/0!</v>
      </c>
      <c r="AY46">
        <v>319200.5</v>
      </c>
    </row>
    <row r="47" spans="27:54" x14ac:dyDescent="0.25">
      <c r="AH47" s="18" t="s">
        <v>13</v>
      </c>
      <c r="AI47" s="18"/>
      <c r="AJ47" s="18"/>
      <c r="AK47" s="18"/>
      <c r="AL47" s="18"/>
      <c r="AM47" s="6"/>
    </row>
    <row r="48" spans="27:54" ht="15.75" thickBot="1" x14ac:dyDescent="0.3">
      <c r="AH48" s="17" t="s">
        <v>34</v>
      </c>
      <c r="AI48" s="17">
        <v>2</v>
      </c>
      <c r="AJ48" s="17">
        <v>2</v>
      </c>
      <c r="AK48" s="17">
        <v>2</v>
      </c>
      <c r="AL48" s="17">
        <v>6</v>
      </c>
      <c r="AM48" s="6"/>
      <c r="AV48" s="3" t="s">
        <v>68</v>
      </c>
      <c r="AW48" s="3"/>
      <c r="AX48" s="3"/>
      <c r="AY48" s="3"/>
    </row>
    <row r="49" spans="34:55" x14ac:dyDescent="0.25">
      <c r="AH49" s="17" t="s">
        <v>33</v>
      </c>
      <c r="AI49" s="17">
        <v>103</v>
      </c>
      <c r="AJ49" s="17">
        <v>4</v>
      </c>
      <c r="AK49" s="17">
        <v>275732.29000000004</v>
      </c>
      <c r="AL49" s="17">
        <v>275839.29000000004</v>
      </c>
      <c r="AM49" s="6"/>
      <c r="AV49" t="s">
        <v>34</v>
      </c>
      <c r="AW49">
        <v>1</v>
      </c>
      <c r="AX49">
        <v>1</v>
      </c>
      <c r="AY49">
        <v>2</v>
      </c>
    </row>
    <row r="50" spans="34:55" x14ac:dyDescent="0.25">
      <c r="AH50" s="17" t="s">
        <v>45</v>
      </c>
      <c r="AI50" s="17">
        <v>51.5</v>
      </c>
      <c r="AJ50" s="17">
        <v>2</v>
      </c>
      <c r="AK50" s="17">
        <v>137866.14500000002</v>
      </c>
      <c r="AL50" s="17">
        <v>45973.215000000004</v>
      </c>
      <c r="AM50" s="6"/>
      <c r="AV50" t="s">
        <v>33</v>
      </c>
      <c r="AW50">
        <v>29.5</v>
      </c>
      <c r="AX50">
        <v>549</v>
      </c>
      <c r="AY50">
        <v>578.5</v>
      </c>
    </row>
    <row r="51" spans="34:55" x14ac:dyDescent="0.25">
      <c r="AH51" s="17" t="s">
        <v>46</v>
      </c>
      <c r="AI51" s="17">
        <v>84.5</v>
      </c>
      <c r="AJ51" s="17">
        <v>2</v>
      </c>
      <c r="AK51" s="17">
        <v>55403916.920449987</v>
      </c>
      <c r="AL51" s="17">
        <v>5077667641.1250305</v>
      </c>
      <c r="AM51" s="6"/>
      <c r="AV51" t="s">
        <v>45</v>
      </c>
      <c r="AW51">
        <v>29.5</v>
      </c>
      <c r="AX51">
        <v>549</v>
      </c>
      <c r="AY51">
        <v>289.25</v>
      </c>
    </row>
    <row r="52" spans="34:55" x14ac:dyDescent="0.25">
      <c r="AH52" s="17"/>
      <c r="AI52" s="17"/>
      <c r="AJ52" s="17"/>
      <c r="AK52" s="17"/>
      <c r="AL52" s="17"/>
      <c r="AM52" s="6"/>
      <c r="AV52" t="s">
        <v>46</v>
      </c>
      <c r="AW52" t="e">
        <v>#DIV/0!</v>
      </c>
      <c r="AX52" t="e">
        <v>#DIV/0!</v>
      </c>
      <c r="AY52">
        <v>134940.125</v>
      </c>
    </row>
    <row r="53" spans="34:55" x14ac:dyDescent="0.25">
      <c r="AH53" s="18" t="s">
        <v>11</v>
      </c>
      <c r="AI53" s="18"/>
      <c r="AJ53" s="18"/>
      <c r="AK53" s="18"/>
      <c r="AL53" s="18"/>
      <c r="AM53" s="6"/>
    </row>
    <row r="54" spans="34:55" ht="15.75" thickBot="1" x14ac:dyDescent="0.3">
      <c r="AH54" s="17" t="s">
        <v>34</v>
      </c>
      <c r="AI54" s="17">
        <v>2</v>
      </c>
      <c r="AJ54" s="17">
        <v>2</v>
      </c>
      <c r="AK54" s="17">
        <v>2</v>
      </c>
      <c r="AL54" s="17">
        <v>6</v>
      </c>
      <c r="AM54" s="6"/>
      <c r="AV54" s="3" t="s">
        <v>57</v>
      </c>
      <c r="AW54" s="3"/>
      <c r="AX54" s="3"/>
      <c r="AY54" s="3"/>
      <c r="AZ54" s="3"/>
      <c r="BA54" s="3"/>
      <c r="BB54" s="3"/>
      <c r="BC54" s="3"/>
    </row>
    <row r="55" spans="34:55" x14ac:dyDescent="0.25">
      <c r="AH55" s="17" t="s">
        <v>33</v>
      </c>
      <c r="AI55" s="17">
        <v>69</v>
      </c>
      <c r="AJ55" s="17">
        <v>15</v>
      </c>
      <c r="AK55" s="17">
        <v>0</v>
      </c>
      <c r="AL55" s="17">
        <v>84</v>
      </c>
      <c r="AM55" s="6"/>
      <c r="AV55" t="s">
        <v>34</v>
      </c>
      <c r="AW55">
        <v>6</v>
      </c>
      <c r="AX55">
        <v>6</v>
      </c>
    </row>
    <row r="56" spans="34:55" x14ac:dyDescent="0.25">
      <c r="AH56" s="17" t="s">
        <v>45</v>
      </c>
      <c r="AI56" s="17">
        <v>34.5</v>
      </c>
      <c r="AJ56" s="17">
        <v>7.5</v>
      </c>
      <c r="AK56" s="17">
        <v>0</v>
      </c>
      <c r="AL56" s="17">
        <v>14</v>
      </c>
      <c r="AM56" s="6"/>
      <c r="AV56" t="s">
        <v>33</v>
      </c>
      <c r="AW56">
        <v>206.5</v>
      </c>
      <c r="AX56">
        <v>3423</v>
      </c>
    </row>
    <row r="57" spans="34:55" x14ac:dyDescent="0.25">
      <c r="AH57" s="17" t="s">
        <v>46</v>
      </c>
      <c r="AI57" s="17">
        <v>220.5</v>
      </c>
      <c r="AJ57" s="17">
        <v>4.5</v>
      </c>
      <c r="AK57" s="17">
        <v>0</v>
      </c>
      <c r="AL57" s="17">
        <v>308.39999999999998</v>
      </c>
      <c r="AM57" s="6"/>
      <c r="AV57" t="s">
        <v>45</v>
      </c>
      <c r="AW57">
        <v>34.416666666666664</v>
      </c>
      <c r="AX57">
        <v>570.5</v>
      </c>
    </row>
    <row r="58" spans="34:55" x14ac:dyDescent="0.25">
      <c r="AH58" s="17"/>
      <c r="AI58" s="17"/>
      <c r="AJ58" s="17"/>
      <c r="AK58" s="17"/>
      <c r="AL58" s="17"/>
      <c r="AM58" s="6"/>
      <c r="AV58" t="s">
        <v>46</v>
      </c>
      <c r="AW58">
        <v>490.84166666666658</v>
      </c>
      <c r="AX58">
        <v>43147.5</v>
      </c>
    </row>
    <row r="59" spans="34:55" x14ac:dyDescent="0.25">
      <c r="AH59" s="18" t="s">
        <v>11</v>
      </c>
      <c r="AI59" s="18"/>
      <c r="AJ59" s="18"/>
      <c r="AK59" s="18"/>
      <c r="AL59" s="18"/>
      <c r="AM59" s="6"/>
    </row>
    <row r="60" spans="34:55" x14ac:dyDescent="0.25">
      <c r="AH60" s="17" t="s">
        <v>34</v>
      </c>
      <c r="AI60" s="17">
        <v>2</v>
      </c>
      <c r="AJ60" s="17">
        <v>2</v>
      </c>
      <c r="AK60" s="17">
        <v>2</v>
      </c>
      <c r="AL60" s="17">
        <v>6</v>
      </c>
      <c r="AM60" s="6"/>
    </row>
    <row r="61" spans="34:55" ht="15.75" thickBot="1" x14ac:dyDescent="0.3">
      <c r="AH61" s="17" t="s">
        <v>33</v>
      </c>
      <c r="AI61" s="17">
        <v>65</v>
      </c>
      <c r="AJ61" s="17">
        <v>14</v>
      </c>
      <c r="AK61" s="17">
        <v>0</v>
      </c>
      <c r="AL61" s="17">
        <v>79</v>
      </c>
      <c r="AM61" s="6"/>
      <c r="AV61" t="s">
        <v>47</v>
      </c>
    </row>
    <row r="62" spans="34:55" x14ac:dyDescent="0.25">
      <c r="AH62" s="17" t="s">
        <v>45</v>
      </c>
      <c r="AI62" s="17">
        <v>32.5</v>
      </c>
      <c r="AJ62" s="17">
        <v>7</v>
      </c>
      <c r="AK62" s="17">
        <v>0</v>
      </c>
      <c r="AL62" s="17">
        <v>13.166666666666666</v>
      </c>
      <c r="AM62" s="6"/>
      <c r="AV62" s="2" t="s">
        <v>48</v>
      </c>
      <c r="AW62" s="2" t="s">
        <v>49</v>
      </c>
      <c r="AX62" s="2" t="s">
        <v>50</v>
      </c>
      <c r="AY62" s="2" t="s">
        <v>51</v>
      </c>
      <c r="AZ62" s="2" t="s">
        <v>52</v>
      </c>
      <c r="BA62" s="2" t="s">
        <v>53</v>
      </c>
      <c r="BB62" s="2" t="s">
        <v>54</v>
      </c>
    </row>
    <row r="63" spans="34:55" x14ac:dyDescent="0.25">
      <c r="AH63" s="17" t="s">
        <v>46</v>
      </c>
      <c r="AI63" s="17">
        <v>144.5</v>
      </c>
      <c r="AJ63" s="17">
        <v>2</v>
      </c>
      <c r="AK63" s="17">
        <v>0</v>
      </c>
      <c r="AL63" s="17">
        <v>263.36666666666667</v>
      </c>
      <c r="AM63" s="6"/>
      <c r="AV63" t="s">
        <v>59</v>
      </c>
      <c r="AW63">
        <v>94273.104166666744</v>
      </c>
      <c r="AX63">
        <v>5</v>
      </c>
      <c r="AY63">
        <v>18854.620833333349</v>
      </c>
      <c r="AZ63">
        <v>65535</v>
      </c>
      <c r="BA63" t="e">
        <v>#NUM!</v>
      </c>
      <c r="BB63" t="e">
        <v>#NUM!</v>
      </c>
    </row>
    <row r="64" spans="34:55" x14ac:dyDescent="0.25">
      <c r="AH64" s="17"/>
      <c r="AI64" s="17"/>
      <c r="AJ64" s="17"/>
      <c r="AK64" s="17"/>
      <c r="AL64" s="17"/>
      <c r="AM64" s="6"/>
      <c r="AV64" t="s">
        <v>60</v>
      </c>
      <c r="AW64">
        <v>862156.02083333337</v>
      </c>
      <c r="AX64">
        <v>1</v>
      </c>
      <c r="AY64">
        <v>862156.02083333337</v>
      </c>
      <c r="AZ64">
        <v>65535</v>
      </c>
      <c r="BA64" t="e">
        <v>#NUM!</v>
      </c>
      <c r="BB64" t="e">
        <v>#NUM!</v>
      </c>
    </row>
    <row r="65" spans="34:54" x14ac:dyDescent="0.25">
      <c r="AH65" s="18" t="s">
        <v>11</v>
      </c>
      <c r="AI65" s="18"/>
      <c r="AJ65" s="18"/>
      <c r="AK65" s="18"/>
      <c r="AL65" s="18"/>
      <c r="AM65" s="6"/>
      <c r="AV65" t="s">
        <v>61</v>
      </c>
      <c r="AW65">
        <v>123918.60416666663</v>
      </c>
      <c r="AX65">
        <v>5</v>
      </c>
      <c r="AY65">
        <v>24783.720833333326</v>
      </c>
      <c r="AZ65">
        <v>65535</v>
      </c>
      <c r="BA65" t="e">
        <v>#NUM!</v>
      </c>
      <c r="BB65" t="e">
        <v>#NUM!</v>
      </c>
    </row>
    <row r="66" spans="34:54" x14ac:dyDescent="0.25">
      <c r="AH66" s="17" t="s">
        <v>34</v>
      </c>
      <c r="AI66" s="17">
        <v>2</v>
      </c>
      <c r="AJ66" s="17">
        <v>2</v>
      </c>
      <c r="AK66" s="17">
        <v>2</v>
      </c>
      <c r="AL66" s="17">
        <v>6</v>
      </c>
      <c r="AM66" s="6"/>
      <c r="AV66" t="s">
        <v>62</v>
      </c>
      <c r="AW66">
        <v>0</v>
      </c>
      <c r="AX66">
        <v>0</v>
      </c>
      <c r="AY66">
        <v>65535</v>
      </c>
    </row>
    <row r="67" spans="34:54" x14ac:dyDescent="0.25">
      <c r="AH67" s="17" t="s">
        <v>33</v>
      </c>
      <c r="AI67" s="17">
        <v>70</v>
      </c>
      <c r="AJ67" s="17">
        <v>12</v>
      </c>
      <c r="AK67" s="17">
        <v>0</v>
      </c>
      <c r="AL67" s="17">
        <v>82</v>
      </c>
      <c r="AM67" s="6"/>
    </row>
    <row r="68" spans="34:54" ht="15.75" thickBot="1" x14ac:dyDescent="0.3">
      <c r="AH68" s="17" t="s">
        <v>45</v>
      </c>
      <c r="AI68" s="17">
        <v>35</v>
      </c>
      <c r="AJ68" s="17">
        <v>6</v>
      </c>
      <c r="AK68" s="17">
        <v>0</v>
      </c>
      <c r="AL68" s="17">
        <v>13.666666666666666</v>
      </c>
      <c r="AM68" s="6"/>
      <c r="AV68" s="1" t="s">
        <v>57</v>
      </c>
      <c r="AW68" s="1">
        <v>1080347.7291666667</v>
      </c>
      <c r="AX68" s="1">
        <v>11</v>
      </c>
      <c r="AY68" s="1"/>
      <c r="AZ68" s="1"/>
      <c r="BA68" s="1"/>
      <c r="BB68" s="1"/>
    </row>
    <row r="69" spans="34:54" x14ac:dyDescent="0.25">
      <c r="AH69" s="17" t="s">
        <v>46</v>
      </c>
      <c r="AI69" s="17">
        <v>18</v>
      </c>
      <c r="AJ69" s="17">
        <v>8</v>
      </c>
      <c r="AK69" s="17">
        <v>0</v>
      </c>
      <c r="AL69" s="17">
        <v>285.46666666666664</v>
      </c>
      <c r="AM69" s="6"/>
    </row>
    <row r="70" spans="34:54" x14ac:dyDescent="0.25">
      <c r="AH70" s="17"/>
      <c r="AI70" s="17"/>
      <c r="AJ70" s="17"/>
      <c r="AK70" s="17"/>
      <c r="AL70" s="17"/>
      <c r="AM70" s="6"/>
    </row>
    <row r="71" spans="34:54" ht="15.75" thickBot="1" x14ac:dyDescent="0.3">
      <c r="AH71" s="18" t="s">
        <v>57</v>
      </c>
      <c r="AI71" s="18"/>
      <c r="AJ71" s="18"/>
      <c r="AK71" s="18"/>
      <c r="AL71" s="18"/>
      <c r="AM71" s="15"/>
      <c r="AN71" s="3"/>
    </row>
    <row r="72" spans="34:54" x14ac:dyDescent="0.25">
      <c r="AH72" s="17" t="s">
        <v>34</v>
      </c>
      <c r="AI72" s="17">
        <v>22</v>
      </c>
      <c r="AJ72" s="17">
        <v>22</v>
      </c>
      <c r="AK72" s="17">
        <v>22</v>
      </c>
      <c r="AL72" s="17"/>
      <c r="AM72" s="6"/>
    </row>
    <row r="73" spans="34:54" x14ac:dyDescent="0.25">
      <c r="AH73" s="17" t="s">
        <v>33</v>
      </c>
      <c r="AI73" s="17">
        <v>815</v>
      </c>
      <c r="AJ73" s="17">
        <v>113</v>
      </c>
      <c r="AK73" s="17">
        <v>1252185.96</v>
      </c>
      <c r="AL73" s="17"/>
      <c r="AM73" s="6"/>
    </row>
    <row r="74" spans="34:54" x14ac:dyDescent="0.25">
      <c r="AH74" s="17" t="s">
        <v>45</v>
      </c>
      <c r="AI74" s="17">
        <v>37.045454545454547</v>
      </c>
      <c r="AJ74" s="17">
        <v>5.1363636363636367</v>
      </c>
      <c r="AK74" s="17">
        <v>56917.543636363633</v>
      </c>
      <c r="AL74" s="17"/>
      <c r="AM74" s="6"/>
    </row>
    <row r="75" spans="34:54" x14ac:dyDescent="0.25">
      <c r="AH75" s="17" t="s">
        <v>46</v>
      </c>
      <c r="AI75" s="17">
        <v>86.807359307359249</v>
      </c>
      <c r="AJ75" s="17">
        <v>7.8376623376623389</v>
      </c>
      <c r="AK75" s="17">
        <v>4283178532.8755383</v>
      </c>
      <c r="AL75" s="17"/>
      <c r="AM75" s="6"/>
    </row>
    <row r="76" spans="34:54" x14ac:dyDescent="0.25">
      <c r="AH76" s="17"/>
      <c r="AI76" s="17"/>
      <c r="AJ76" s="17"/>
      <c r="AK76" s="17"/>
      <c r="AL76" s="17"/>
      <c r="AM76" s="6"/>
    </row>
    <row r="77" spans="34:54" x14ac:dyDescent="0.25">
      <c r="AH77" s="17"/>
      <c r="AI77" s="17"/>
      <c r="AJ77" s="17"/>
      <c r="AK77" s="17"/>
      <c r="AL77" s="17"/>
      <c r="AM77" s="6"/>
    </row>
    <row r="78" spans="34:54" ht="15.75" thickBot="1" x14ac:dyDescent="0.3">
      <c r="AH78" s="17" t="s">
        <v>47</v>
      </c>
      <c r="AI78" s="17"/>
      <c r="AJ78" s="17"/>
      <c r="AK78" s="17"/>
      <c r="AL78" s="17"/>
      <c r="AM78" s="17"/>
      <c r="AN78" s="19"/>
    </row>
    <row r="79" spans="34:54" x14ac:dyDescent="0.25">
      <c r="AH79" s="16" t="s">
        <v>48</v>
      </c>
      <c r="AI79" s="16" t="s">
        <v>49</v>
      </c>
      <c r="AJ79" s="16" t="s">
        <v>50</v>
      </c>
      <c r="AK79" s="16" t="s">
        <v>51</v>
      </c>
      <c r="AL79" s="16" t="s">
        <v>52</v>
      </c>
      <c r="AM79" s="16" t="s">
        <v>53</v>
      </c>
      <c r="AN79" s="20" t="s">
        <v>54</v>
      </c>
    </row>
    <row r="80" spans="34:54" x14ac:dyDescent="0.25">
      <c r="AH80" s="17" t="s">
        <v>59</v>
      </c>
      <c r="AI80" s="17">
        <v>23926011677.020004</v>
      </c>
      <c r="AJ80" s="17">
        <v>10</v>
      </c>
      <c r="AK80" s="17">
        <v>2392601167.7020006</v>
      </c>
      <c r="AL80" s="17">
        <v>4.3443223160916338</v>
      </c>
      <c r="AM80" s="17">
        <v>6.434369588320996E-4</v>
      </c>
      <c r="AN80" s="19">
        <v>2.132503754216748</v>
      </c>
    </row>
    <row r="81" spans="34:40" x14ac:dyDescent="0.25">
      <c r="AH81" s="17" t="s">
        <v>60</v>
      </c>
      <c r="AI81" s="17">
        <v>47479037416.643707</v>
      </c>
      <c r="AJ81" s="17">
        <v>2</v>
      </c>
      <c r="AK81" s="17">
        <v>23739518708.321854</v>
      </c>
      <c r="AL81" s="17">
        <v>43.104601924478629</v>
      </c>
      <c r="AM81" s="17">
        <v>6.2570339891955433E-10</v>
      </c>
      <c r="AN81" s="19">
        <v>3.2849176510382869</v>
      </c>
    </row>
    <row r="82" spans="34:40" x14ac:dyDescent="0.25">
      <c r="AH82" s="17" t="s">
        <v>61</v>
      </c>
      <c r="AI82" s="17">
        <v>47846250411.621811</v>
      </c>
      <c r="AJ82" s="17">
        <v>20</v>
      </c>
      <c r="AK82" s="17">
        <v>2392312520.5810905</v>
      </c>
      <c r="AL82" s="17">
        <v>4.3437982103000907</v>
      </c>
      <c r="AM82" s="17">
        <v>9.8236279512030166E-5</v>
      </c>
      <c r="AN82" s="19">
        <v>1.8976685090231205</v>
      </c>
    </row>
    <row r="83" spans="34:40" x14ac:dyDescent="0.25">
      <c r="AH83" s="17" t="s">
        <v>62</v>
      </c>
      <c r="AI83" s="17">
        <v>18174489089.289898</v>
      </c>
      <c r="AJ83" s="17">
        <v>33</v>
      </c>
      <c r="AK83" s="17">
        <v>550742093.6148454</v>
      </c>
      <c r="AL83" s="17"/>
      <c r="AM83" s="17"/>
      <c r="AN83" s="19"/>
    </row>
    <row r="84" spans="34:40" x14ac:dyDescent="0.25">
      <c r="AH84" s="17"/>
      <c r="AI84" s="17"/>
      <c r="AJ84" s="17"/>
      <c r="AK84" s="17"/>
      <c r="AL84" s="17"/>
      <c r="AM84" s="17"/>
      <c r="AN84" s="19"/>
    </row>
    <row r="85" spans="34:40" ht="15.75" thickBot="1" x14ac:dyDescent="0.3">
      <c r="AH85" s="17" t="s">
        <v>57</v>
      </c>
      <c r="AI85" s="17">
        <v>137425788594.57542</v>
      </c>
      <c r="AJ85" s="17">
        <v>65</v>
      </c>
      <c r="AK85" s="17"/>
      <c r="AL85" s="17"/>
      <c r="AM85" s="17"/>
      <c r="AN85" s="2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Sheet3</vt:lpstr>
      <vt:lpstr>Sheet2</vt:lpstr>
      <vt:lpstr>Sheet5</vt:lpstr>
      <vt:lpstr>Sheet6</vt:lpstr>
      <vt:lpstr>Sheet7</vt:lpstr>
      <vt:lpstr>Sheet8</vt:lpstr>
      <vt:lpstr>Sheet10</vt:lpstr>
      <vt:lpstr>Sheet9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2026-06-05T04:19:08Z</dcterms:created>
  <dcterms:modified xsi:type="dcterms:W3CDTF">2026-06-08T10:29:13Z</dcterms:modified>
</cp:coreProperties>
</file>