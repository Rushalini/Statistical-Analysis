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13_ncr:1_{C48DD206-3C40-4C61-A1FB-4346AFA6A036}" xr6:coauthVersionLast="47" xr6:coauthVersionMax="47" xr10:uidLastSave="{00000000-0000-0000-0000-000000000000}"/>
  <bookViews>
    <workbookView xWindow="-120" yWindow="-120" windowWidth="29040" windowHeight="15720" activeTab="1" xr2:uid="{1178182C-8D1E-45E6-8BE1-5738423B6A9B}"/>
  </bookViews>
  <sheets>
    <sheet name="Bayes Theorem" sheetId="1" r:id="rId1"/>
    <sheet name="Skewness" sheetId="2" r:id="rId2"/>
  </sheets>
  <definedNames>
    <definedName name="_xlchart.v1.0" hidden="1">Skewness!$E$2:$E$8</definedName>
    <definedName name="_xlchart.v1.1" hidden="1">Skewness!$E$2:$E$8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A11" i="2"/>
  <c r="F9" i="1"/>
  <c r="D12" i="1"/>
  <c r="D3" i="1"/>
  <c r="D9" i="1" s="1"/>
  <c r="D6" i="1"/>
  <c r="D15" i="1" l="1"/>
  <c r="D18" i="1" s="1"/>
</calcChain>
</file>

<file path=xl/sharedStrings.xml><?xml version="1.0" encoding="utf-8"?>
<sst xmlns="http://schemas.openxmlformats.org/spreadsheetml/2006/main" count="20" uniqueCount="20">
  <si>
    <t>Total Population</t>
  </si>
  <si>
    <t>Diseased People</t>
  </si>
  <si>
    <t>Healthy People</t>
  </si>
  <si>
    <t>Test Accuracy</t>
  </si>
  <si>
    <t>False Postive Rate</t>
  </si>
  <si>
    <t>Prior Probability</t>
  </si>
  <si>
    <t>Healthy</t>
  </si>
  <si>
    <t>Accuracy Of Healthy</t>
  </si>
  <si>
    <t>Bayes Theorem</t>
  </si>
  <si>
    <t>Accuracy Disesed</t>
  </si>
  <si>
    <t>False Positive Healthy</t>
  </si>
  <si>
    <t>Total Test Positive</t>
  </si>
  <si>
    <t>marks</t>
  </si>
  <si>
    <t>&gt;0</t>
  </si>
  <si>
    <t>&lt;0</t>
  </si>
  <si>
    <t>Positive Skew</t>
  </si>
  <si>
    <t>Negative Skew</t>
  </si>
  <si>
    <t>Platykurtic</t>
  </si>
  <si>
    <t>Leptokurtic</t>
  </si>
  <si>
    <t>Sum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</si>
</sst>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3" fontId="0" fillId="0" borderId="1" xfId="0" applyNumberFormat="1" applyBorder="1"/>
    <xf numFmtId="9" fontId="0" fillId="0" borderId="1" xfId="0" applyNumberFormat="1" applyBorder="1"/>
    <xf numFmtId="10" fontId="0" fillId="0" borderId="0" xfId="0" applyNumberFormat="1"/>
    <xf numFmtId="165" fontId="0" fillId="0" borderId="0" xfId="0" applyNumberFormat="1"/>
    <xf numFmtId="0" fontId="0" fillId="0" borderId="0" xfId="0" applyNumberFormat="1"/>
    <xf numFmtId="0" fontId="7" fillId="3" borderId="0" xfId="2" applyFont="1"/>
    <xf numFmtId="0" fontId="8" fillId="2" borderId="0" xfId="1" applyFont="1"/>
    <xf numFmtId="0" fontId="9" fillId="4" borderId="0" xfId="3" applyFont="1"/>
    <xf numFmtId="0" fontId="10" fillId="7" borderId="0" xfId="6" applyFont="1"/>
    <xf numFmtId="0" fontId="6" fillId="0" borderId="0" xfId="0" applyFont="1"/>
    <xf numFmtId="0" fontId="10" fillId="6" borderId="0" xfId="5" applyFont="1"/>
    <xf numFmtId="0" fontId="10" fillId="8" borderId="0" xfId="7" applyFont="1"/>
    <xf numFmtId="0" fontId="10" fillId="5" borderId="0" xfId="4" applyFont="1"/>
    <xf numFmtId="0" fontId="5" fillId="0" borderId="0" xfId="0" applyFont="1"/>
    <xf numFmtId="0" fontId="5" fillId="0" borderId="1" xfId="0" applyFont="1" applyBorder="1"/>
  </cellXfs>
  <cellStyles count="8">
    <cellStyle name="20% - Accent5" xfId="6" builtinId="46"/>
    <cellStyle name="40% - Accent1" xfId="4" builtinId="31"/>
    <cellStyle name="40% - Accent2" xfId="5" builtinId="35"/>
    <cellStyle name="40% - Accent6" xfId="7" builtinId="51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55893144247021"/>
          <c:y val="0.25158307140909891"/>
          <c:w val="0.85406934080883867"/>
          <c:h val="0.60077484805721704"/>
        </c:manualLayout>
      </c:layout>
      <c:scatterChart>
        <c:scatterStyle val="lineMarker"/>
        <c:varyColors val="0"/>
        <c:ser>
          <c:idx val="0"/>
          <c:order val="0"/>
          <c:tx>
            <c:strRef>
              <c:f>Skewness!$A$1</c:f>
              <c:strCache>
                <c:ptCount val="1"/>
                <c:pt idx="0">
                  <c:v>marks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Skewness!$A$2:$A$8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92-4C97-A81F-EDCD3F74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30192"/>
        <c:axId val="1229029712"/>
      </c:scatterChart>
      <c:valAx>
        <c:axId val="122903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029712"/>
        <c:crosses val="autoZero"/>
        <c:crossBetween val="midCat"/>
      </c:valAx>
      <c:valAx>
        <c:axId val="122902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03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yVal>
            <c:numRef>
              <c:f>Skewness!$E$2:$E$8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7-4038-900D-7B00E4D11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40464"/>
        <c:axId val="13538064"/>
      </c:scatterChart>
      <c:valAx>
        <c:axId val="1354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064"/>
        <c:crosses val="autoZero"/>
        <c:crossBetween val="midCat"/>
      </c:valAx>
      <c:valAx>
        <c:axId val="1353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</xdr:row>
      <xdr:rowOff>128587</xdr:rowOff>
    </xdr:from>
    <xdr:to>
      <xdr:col>14</xdr:col>
      <xdr:colOff>123825</xdr:colOff>
      <xdr:row>12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463986-F2FE-6028-96EB-43B79B32BF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200025</xdr:colOff>
      <xdr:row>1</xdr:row>
      <xdr:rowOff>152400</xdr:rowOff>
    </xdr:from>
    <xdr:to>
      <xdr:col>21</xdr:col>
      <xdr:colOff>304800</xdr:colOff>
      <xdr:row>12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E453C0-6862-803B-40C1-E895854CB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98.505403009258" createdVersion="8" refreshedVersion="8" minRefreshableVersion="3" recordCount="7" xr:uid="{71679094-0D88-413C-A520-56FA1B5CC038}">
  <cacheSource type="worksheet">
    <worksheetSource ref="A1:A8" sheet="Skewness"/>
  </cacheSource>
  <cacheFields count="1">
    <cacheField name="marks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"/>
  </r>
  <r>
    <n v="20"/>
  </r>
  <r>
    <n v="30"/>
  </r>
  <r>
    <n v="40"/>
  </r>
  <r>
    <n v="50"/>
  </r>
  <r>
    <n v="60"/>
  </r>
  <r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48E6F-5D45-4598-A108-4263C56ABA8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E17:E18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marks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9C970-DAC6-4190-859F-7BEBBA0216BA}">
  <dimension ref="A1:F18"/>
  <sheetViews>
    <sheetView zoomScaleNormal="100" workbookViewId="0">
      <selection activeCell="F19" sqref="F19"/>
    </sheetView>
  </sheetViews>
  <sheetFormatPr defaultRowHeight="15" x14ac:dyDescent="0.25"/>
  <cols>
    <col min="1" max="1" width="17.28515625" bestFit="1" customWidth="1"/>
    <col min="4" max="4" width="24.5703125" bestFit="1" customWidth="1"/>
    <col min="6" max="6" width="26.85546875" bestFit="1" customWidth="1"/>
  </cols>
  <sheetData>
    <row r="1" spans="1:6" x14ac:dyDescent="0.25">
      <c r="A1" s="1" t="s">
        <v>0</v>
      </c>
      <c r="B1" s="2">
        <v>20000</v>
      </c>
    </row>
    <row r="2" spans="1:6" ht="18.75" x14ac:dyDescent="0.3">
      <c r="A2" s="1" t="s">
        <v>1</v>
      </c>
      <c r="B2" s="1">
        <v>100</v>
      </c>
      <c r="D2" s="7" t="s">
        <v>5</v>
      </c>
    </row>
    <row r="3" spans="1:6" x14ac:dyDescent="0.25">
      <c r="A3" s="1" t="s">
        <v>2</v>
      </c>
      <c r="B3" s="2">
        <v>19900</v>
      </c>
      <c r="D3" s="6">
        <f>B2/B1</f>
        <v>5.0000000000000001E-3</v>
      </c>
    </row>
    <row r="4" spans="1:6" x14ac:dyDescent="0.25">
      <c r="A4" s="1" t="s">
        <v>3</v>
      </c>
      <c r="B4" s="3">
        <v>0.99</v>
      </c>
    </row>
    <row r="5" spans="1:6" ht="18.75" x14ac:dyDescent="0.3">
      <c r="A5" s="1" t="s">
        <v>4</v>
      </c>
      <c r="B5" s="3">
        <v>0.01</v>
      </c>
      <c r="D5" s="8" t="s">
        <v>6</v>
      </c>
    </row>
    <row r="6" spans="1:6" x14ac:dyDescent="0.25">
      <c r="D6">
        <f>B3/B1</f>
        <v>0.995</v>
      </c>
    </row>
    <row r="8" spans="1:6" ht="18.75" x14ac:dyDescent="0.3">
      <c r="D8" s="9" t="s">
        <v>9</v>
      </c>
      <c r="F8" s="14" t="s">
        <v>10</v>
      </c>
    </row>
    <row r="9" spans="1:6" x14ac:dyDescent="0.25">
      <c r="D9">
        <f>B4*D3</f>
        <v>4.9500000000000004E-3</v>
      </c>
      <c r="F9">
        <f>B5*D6</f>
        <v>9.9500000000000005E-3</v>
      </c>
    </row>
    <row r="11" spans="1:6" ht="18.75" x14ac:dyDescent="0.3">
      <c r="D11" s="10" t="s">
        <v>7</v>
      </c>
    </row>
    <row r="12" spans="1:6" x14ac:dyDescent="0.25">
      <c r="D12">
        <f>B4*D6</f>
        <v>0.98504999999999998</v>
      </c>
    </row>
    <row r="13" spans="1:6" ht="18.75" x14ac:dyDescent="0.3">
      <c r="D13" s="11"/>
      <c r="F13" s="6"/>
    </row>
    <row r="14" spans="1:6" ht="18.75" x14ac:dyDescent="0.3">
      <c r="D14" s="12" t="s">
        <v>11</v>
      </c>
    </row>
    <row r="15" spans="1:6" x14ac:dyDescent="0.25">
      <c r="D15" s="6">
        <f>D9+F9</f>
        <v>1.49E-2</v>
      </c>
    </row>
    <row r="17" spans="4:6" ht="18.75" x14ac:dyDescent="0.3">
      <c r="D17" s="13" t="s">
        <v>8</v>
      </c>
    </row>
    <row r="18" spans="4:6" x14ac:dyDescent="0.25">
      <c r="D18" s="4">
        <f>D9/D15</f>
        <v>0.33221476510067116</v>
      </c>
      <c r="F1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300A-06E8-42FA-BE9D-DD933FA52801}">
  <dimension ref="A1:H18"/>
  <sheetViews>
    <sheetView tabSelected="1" workbookViewId="0">
      <selection activeCell="U20" sqref="U20"/>
    </sheetView>
  </sheetViews>
  <sheetFormatPr defaultRowHeight="15" x14ac:dyDescent="0.25"/>
  <cols>
    <col min="1" max="1" width="13.42578125" bestFit="1" customWidth="1"/>
    <col min="5" max="5" width="12.85546875" bestFit="1" customWidth="1"/>
    <col min="8" max="8" width="11" bestFit="1" customWidth="1"/>
  </cols>
  <sheetData>
    <row r="1" spans="1:8" x14ac:dyDescent="0.25">
      <c r="A1" s="16" t="s">
        <v>12</v>
      </c>
    </row>
    <row r="2" spans="1:8" x14ac:dyDescent="0.25">
      <c r="A2" s="1">
        <v>10</v>
      </c>
      <c r="E2">
        <v>0</v>
      </c>
    </row>
    <row r="3" spans="1:8" x14ac:dyDescent="0.25">
      <c r="A3" s="1">
        <v>20</v>
      </c>
      <c r="E3">
        <v>10</v>
      </c>
    </row>
    <row r="4" spans="1:8" x14ac:dyDescent="0.25">
      <c r="A4" s="1">
        <v>30</v>
      </c>
      <c r="E4">
        <v>20</v>
      </c>
    </row>
    <row r="5" spans="1:8" x14ac:dyDescent="0.25">
      <c r="A5" s="1">
        <v>40</v>
      </c>
      <c r="E5">
        <v>50</v>
      </c>
      <c r="G5" t="s">
        <v>13</v>
      </c>
      <c r="H5" t="s">
        <v>18</v>
      </c>
    </row>
    <row r="6" spans="1:8" x14ac:dyDescent="0.25">
      <c r="A6" s="1">
        <v>50</v>
      </c>
      <c r="E6">
        <v>60</v>
      </c>
      <c r="G6" t="s">
        <v>14</v>
      </c>
      <c r="H6" t="s">
        <v>17</v>
      </c>
    </row>
    <row r="7" spans="1:8" x14ac:dyDescent="0.25">
      <c r="A7" s="1">
        <v>60</v>
      </c>
      <c r="E7">
        <v>70</v>
      </c>
    </row>
    <row r="8" spans="1:8" x14ac:dyDescent="0.25">
      <c r="A8" s="1">
        <v>100</v>
      </c>
      <c r="E8">
        <v>80</v>
      </c>
    </row>
    <row r="10" spans="1:8" x14ac:dyDescent="0.25">
      <c r="A10" s="15" t="s">
        <v>15</v>
      </c>
      <c r="E10" s="15" t="s">
        <v>16</v>
      </c>
    </row>
    <row r="11" spans="1:8" x14ac:dyDescent="0.25">
      <c r="A11">
        <f>SKEW(A2:A8)</f>
        <v>1.0399889851015089</v>
      </c>
      <c r="E11">
        <f>SKEW(E2:E8)</f>
        <v>-0.18413029860550095</v>
      </c>
    </row>
    <row r="17" spans="5:5" x14ac:dyDescent="0.25">
      <c r="E17" t="s">
        <v>19</v>
      </c>
    </row>
    <row r="18" spans="5:5" x14ac:dyDescent="0.25">
      <c r="E18" s="6">
        <v>310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Bayes Theorem</vt:lpstr>
      <vt:lpstr>Skewness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2026-06-25T04:38:31Z</dcterms:created>
  <dcterms:modified xsi:type="dcterms:W3CDTF">2026-06-25T07:17:32Z</dcterms:modified>
</cp:coreProperties>
</file>